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P&amp;L Summary" sheetId="4" state="visible" r:id="rId4"/>
    <sheet xmlns:r="http://schemas.openxmlformats.org/officeDocument/2006/relationships" name="Pending + Next Ste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_($* #,##0_);_($* (#,##0);_($* &quot;-&quot;_);_(@_)"/>
    <numFmt numFmtId="167" formatCode="0.0x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5C99"/>
      <sz val="10"/>
    </font>
    <font>
      <name val="Arial"/>
      <b val="1"/>
      <color rgb="00FFFFFF"/>
      <sz val="9"/>
    </font>
    <font>
      <name val="Arial"/>
      <color rgb="001A7A1A"/>
      <sz val="9"/>
    </font>
    <font>
      <name val="Arial"/>
      <sz val="9"/>
    </font>
    <font>
      <name val="Arial"/>
      <b val="1"/>
      <sz val="9"/>
    </font>
    <font>
      <name val="Arial"/>
      <color rgb="00C0392B"/>
      <sz val="9"/>
    </font>
    <font>
      <name val="Arial"/>
      <b val="1"/>
      <color rgb="00C0392B"/>
      <sz val="9"/>
    </font>
    <font>
      <name val="Arial"/>
      <b val="1"/>
      <color rgb="001F5C99"/>
      <sz val="9"/>
    </font>
    <font>
      <name val="Arial"/>
      <color rgb="00000000"/>
      <sz val="9"/>
    </font>
    <font>
      <name val="Arial"/>
      <b val="1"/>
      <color rgb="001A7A1A"/>
      <sz val="9"/>
    </font>
    <font>
      <name val="Arial"/>
      <b val="1"/>
      <color rgb="00000000"/>
      <sz val="10"/>
    </font>
    <font>
      <name val="Arial"/>
      <b val="1"/>
      <color rgb="00C0392B"/>
      <sz val="10"/>
    </font>
    <font>
      <name val="Arial"/>
      <color rgb="00C0392B"/>
      <sz val="10"/>
    </font>
    <font>
      <name val="Arial"/>
      <b val="1"/>
      <color rgb="001A7A1A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E07B2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9F9F9"/>
      </patternFill>
    </fill>
    <fill>
      <patternFill patternType="solid">
        <fgColor rgb="00F2F0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indent="1"/>
    </xf>
    <xf numFmtId="3" fontId="14" fillId="13" borderId="1" applyAlignment="1" pivotButton="0" quotePrefix="0" xfId="0">
      <alignment horizontal="center" vertical="center"/>
    </xf>
    <xf numFmtId="3" fontId="14" fillId="14" borderId="1" applyAlignment="1" pivotButton="0" quotePrefix="0" xfId="0">
      <alignment horizontal="center" vertical="center"/>
    </xf>
    <xf numFmtId="3" fontId="14" fillId="15" borderId="1" applyAlignment="1" pivotButton="0" quotePrefix="0" xfId="0">
      <alignment horizontal="center" vertical="center"/>
    </xf>
    <xf numFmtId="165" fontId="14" fillId="13" borderId="1" applyAlignment="1" pivotButton="0" quotePrefix="0" xfId="0">
      <alignment horizontal="center" vertical="center"/>
    </xf>
    <xf numFmtId="165" fontId="14" fillId="14" borderId="1" applyAlignment="1" pivotButton="0" quotePrefix="0" xfId="0">
      <alignment horizontal="center" vertical="center"/>
    </xf>
    <xf numFmtId="165" fontId="14" fillId="15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6" fontId="14" fillId="13" borderId="1" applyAlignment="1" pivotButton="0" quotePrefix="0" xfId="0">
      <alignment horizontal="center" vertical="center"/>
    </xf>
    <xf numFmtId="166" fontId="14" fillId="14" borderId="1" applyAlignment="1" pivotButton="0" quotePrefix="0" xfId="0">
      <alignment horizontal="center" vertical="center"/>
    </xf>
    <xf numFmtId="166" fontId="14" fillId="15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center" vertical="center"/>
    </xf>
    <xf numFmtId="166" fontId="15" fillId="14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indent="1"/>
    </xf>
    <xf numFmtId="166" fontId="17" fillId="8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center" vertical="center"/>
    </xf>
    <xf numFmtId="167" fontId="17" fillId="8" borderId="1" applyAlignment="1" pivotButton="0" quotePrefix="0" xfId="0">
      <alignment horizontal="center" vertical="center"/>
    </xf>
    <xf numFmtId="167" fontId="14" fillId="8" borderId="1" applyAlignment="1" pivotButton="0" quotePrefix="0" xfId="0">
      <alignment horizontal="center" vertical="center"/>
    </xf>
    <xf numFmtId="3" fontId="17" fillId="8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 wrapText="1" inden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 indent="1"/>
    </xf>
    <xf numFmtId="0" fontId="1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 inden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 inden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44" customWidth="1" min="4" max="4"/>
  </cols>
  <sheetData>
    <row r="1" ht="34" customHeight="1">
      <c r="A1" s="1" t="inlineStr">
        <is>
          <t>SOULGAINZ  ·  Financial Model Assumptions  (USD)</t>
        </is>
      </c>
    </row>
    <row r="2" ht="20" customHeight="1">
      <c r="A2" s="2" t="inlineStr">
        <is>
          <t>Assumption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Notes</t>
        </is>
      </c>
    </row>
    <row r="3" ht="20" customHeight="1">
      <c r="A3" s="3" t="inlineStr">
        <is>
          <t>PRICING (USD)</t>
        </is>
      </c>
    </row>
    <row r="4" ht="18" customHeight="1">
      <c r="A4" s="4" t="inlineStr">
        <is>
          <t>Monthly Pro price</t>
        </is>
      </c>
      <c r="B4" s="5" t="n">
        <v>16.99</v>
      </c>
      <c r="C4" s="6" t="inlineStr">
        <is>
          <t>USD/mo</t>
        </is>
      </c>
      <c r="D4" s="4" t="inlineStr">
        <is>
          <t>Stripe live price — change here if you update Stripe</t>
        </is>
      </c>
    </row>
    <row r="5" ht="18" customHeight="1">
      <c r="A5" s="4" t="inlineStr">
        <is>
          <t>Annual Pro price</t>
        </is>
      </c>
      <c r="B5" s="5" t="n">
        <v>150</v>
      </c>
      <c r="C5" s="6" t="inlineStr">
        <is>
          <t>USD/yr</t>
        </is>
      </c>
      <c r="D5" s="4" t="inlineStr">
        <is>
          <t>$12.50/mo effective · saves $53.88 vs monthly</t>
        </is>
      </c>
    </row>
    <row r="6" ht="18" customHeight="1">
      <c r="A6" s="4" t="inlineStr">
        <is>
          <t>Stripe fee (blended %)</t>
        </is>
      </c>
      <c r="B6" s="7" t="n">
        <v>0.029</v>
      </c>
      <c r="C6" s="6" t="inlineStr">
        <is>
          <t>%</t>
        </is>
      </c>
      <c r="D6" s="4" t="inlineStr">
        <is>
          <t>2.9% — standard Stripe rate</t>
        </is>
      </c>
    </row>
    <row r="7" ht="18" customHeight="1">
      <c r="A7" s="4" t="inlineStr">
        <is>
          <t>Stripe fixed fee</t>
        </is>
      </c>
      <c r="B7" s="5" t="n">
        <v>0.3</v>
      </c>
      <c r="C7" s="6" t="inlineStr">
        <is>
          <t>USD</t>
        </is>
      </c>
      <c r="D7" s="4" t="inlineStr">
        <is>
          <t>Per transaction</t>
        </is>
      </c>
    </row>
    <row r="8" ht="20" customHeight="1">
      <c r="A8" s="3" t="inlineStr">
        <is>
          <t>SUBSCRIBER MIX</t>
        </is>
      </c>
    </row>
    <row r="9" ht="18" customHeight="1">
      <c r="A9" s="4" t="inlineStr">
        <is>
          <t>Monthly : Annual split</t>
        </is>
      </c>
      <c r="B9" s="7" t="n">
        <v>0.6</v>
      </c>
      <c r="C9" s="6" t="inlineStr">
        <is>
          <t>% monthly</t>
        </is>
      </c>
      <c r="D9" s="4" t="inlineStr">
        <is>
          <t>60% monthly, 40% annual</t>
        </is>
      </c>
    </row>
    <row r="10" ht="18" customHeight="1">
      <c r="A10" s="4" t="inlineStr">
        <is>
          <t>Free-to-paid conversion</t>
        </is>
      </c>
      <c r="B10" s="7" t="n">
        <v>0.04</v>
      </c>
      <c r="C10" s="6" t="inlineStr">
        <is>
          <t>%</t>
        </is>
      </c>
      <c r="D10" s="4" t="inlineStr">
        <is>
          <t>4% — fitness app benchmark</t>
        </is>
      </c>
    </row>
    <row r="11" ht="20" customHeight="1">
      <c r="A11" s="3" t="inlineStr">
        <is>
          <t>CHURN</t>
        </is>
      </c>
    </row>
    <row r="12" ht="18" customHeight="1">
      <c r="A12" s="4" t="inlineStr">
        <is>
          <t>Monthly sub churn</t>
        </is>
      </c>
      <c r="B12" s="7" t="n">
        <v>0.06</v>
      </c>
      <c r="C12" s="6" t="inlineStr">
        <is>
          <t>%/mo</t>
        </is>
      </c>
      <c r="D12" s="4" t="inlineStr">
        <is>
          <t>6%/mo = ~52% annual — fitness app average</t>
        </is>
      </c>
    </row>
    <row r="13" ht="18" customHeight="1">
      <c r="A13" s="4" t="inlineStr">
        <is>
          <t>Annual renewal rate</t>
        </is>
      </c>
      <c r="B13" s="7" t="n">
        <v>0.78</v>
      </c>
      <c r="C13" s="6" t="inlineStr">
        <is>
          <t>%</t>
        </is>
      </c>
      <c r="D13" s="4" t="inlineStr">
        <is>
          <t>78% renew · 22% annual churn</t>
        </is>
      </c>
    </row>
    <row r="14" ht="20" customHeight="1">
      <c r="A14" s="3" t="inlineStr">
        <is>
          <t>USER ACQUISITION — BASE CASE</t>
        </is>
      </c>
    </row>
    <row r="15" ht="18" customHeight="1">
      <c r="A15" s="4" t="inlineStr">
        <is>
          <t>Month 1 new free signups</t>
        </is>
      </c>
      <c r="B15" s="8" t="n">
        <v>80</v>
      </c>
      <c r="C15" s="6" t="inlineStr">
        <is>
          <t>users</t>
        </is>
      </c>
      <c r="D15" s="4" t="inlineStr">
        <is>
          <t>Waitlist + launch organic traffic</t>
        </is>
      </c>
    </row>
    <row r="16" ht="18" customHeight="1">
      <c r="A16" s="4" t="inlineStr">
        <is>
          <t>Monthly signup growth (MoM)</t>
        </is>
      </c>
      <c r="B16" s="7" t="n">
        <v>0.15</v>
      </c>
      <c r="C16" s="6" t="inlineStr">
        <is>
          <t>%/mo</t>
        </is>
      </c>
      <c r="D16" s="4" t="inlineStr">
        <is>
          <t>15% — SEO, word of mouth, Instagram</t>
        </is>
      </c>
    </row>
    <row r="17" ht="20" customHeight="1">
      <c r="A17" s="3" t="inlineStr">
        <is>
          <t>ACTUAL MONTHLY COSTS (USD)</t>
        </is>
      </c>
    </row>
    <row r="18" ht="18" customHeight="1">
      <c r="A18" s="4" t="inlineStr">
        <is>
          <t>Claude Pro subscription</t>
        </is>
      </c>
      <c r="B18" s="5" t="n">
        <v>19.2</v>
      </c>
      <c r="C18" s="6" t="inlineStr">
        <is>
          <t>USD/mo</t>
        </is>
      </c>
      <c r="D18" s="4" t="inlineStr">
        <is>
          <t>QAR 69.99 × 0.274 exchange rate</t>
        </is>
      </c>
    </row>
    <row r="19" ht="18" customHeight="1">
      <c r="A19" s="4" t="inlineStr">
        <is>
          <t>Netlify Pro</t>
        </is>
      </c>
      <c r="B19" s="5" t="n">
        <v>19</v>
      </c>
      <c r="C19" s="6" t="inlineStr">
        <is>
          <t>USD/mo</t>
        </is>
      </c>
      <c r="D19" s="4" t="inlineStr">
        <is>
          <t>Functions + custom domain + bandwidth</t>
        </is>
      </c>
    </row>
    <row r="20" ht="18" customHeight="1">
      <c r="A20" s="4" t="inlineStr">
        <is>
          <t>Supabase</t>
        </is>
      </c>
      <c r="B20" s="5" t="n">
        <v>0</v>
      </c>
      <c r="C20" s="6" t="inlineStr">
        <is>
          <t>USD/mo</t>
        </is>
      </c>
      <c r="D20" s="4" t="inlineStr">
        <is>
          <t>Free tier (upgrade at scale)</t>
        </is>
      </c>
    </row>
    <row r="21" ht="18" customHeight="1">
      <c r="A21" s="4" t="inlineStr">
        <is>
          <t>Apple Developer Program</t>
        </is>
      </c>
      <c r="B21" s="5" t="n">
        <v>8.25</v>
      </c>
      <c r="C21" s="6" t="inlineStr">
        <is>
          <t>USD/mo</t>
        </is>
      </c>
      <c r="D21" s="4" t="inlineStr">
        <is>
          <t>$99 USD/yr ÷ 12  (pending enrollment)</t>
        </is>
      </c>
    </row>
    <row r="22" ht="18" customHeight="1">
      <c r="A22" s="4" t="inlineStr">
        <is>
          <t>Google Play</t>
        </is>
      </c>
      <c r="B22" s="5" t="n">
        <v>0</v>
      </c>
      <c r="C22" s="6" t="inlineStr">
        <is>
          <t>USD/mo</t>
        </is>
      </c>
      <c r="D22" s="4" t="inlineStr">
        <is>
          <t>$25 one-time — already paid ✅</t>
        </is>
      </c>
    </row>
    <row r="23" ht="18" customHeight="1">
      <c r="A23" s="4" t="inlineStr">
        <is>
          <t>Google Domains (soulgainz.app)</t>
        </is>
      </c>
      <c r="B23" s="5" t="n">
        <v>1</v>
      </c>
      <c r="C23" s="6" t="inlineStr">
        <is>
          <t>USD/mo</t>
        </is>
      </c>
      <c r="D23" s="4" t="inlineStr">
        <is>
          <t>~$12/yr — .app domain</t>
        </is>
      </c>
    </row>
    <row r="24" ht="18" customHeight="1">
      <c r="A24" s="4" t="inlineStr">
        <is>
          <t>Resend email</t>
        </is>
      </c>
      <c r="B24" s="5" t="n">
        <v>0</v>
      </c>
      <c r="C24" s="6" t="inlineStr">
        <is>
          <t>USD/mo</t>
        </is>
      </c>
      <c r="D24" s="4" t="inlineStr">
        <is>
          <t>Free tier (3,000 emails/day)</t>
        </is>
      </c>
    </row>
    <row r="25" ht="18" customHeight="1">
      <c r="A25" s="4" t="inlineStr">
        <is>
          <t>Sentry error tracking</t>
        </is>
      </c>
      <c r="B25" s="5" t="n">
        <v>0</v>
      </c>
      <c r="C25" s="6" t="inlineStr">
        <is>
          <t>USD/mo</t>
        </is>
      </c>
      <c r="D25" s="4" t="inlineStr">
        <is>
          <t>Free tier</t>
        </is>
      </c>
    </row>
    <row r="26" ht="18" customHeight="1">
      <c r="A26" s="4" t="inlineStr">
        <is>
          <t>Misc / buffer</t>
        </is>
      </c>
      <c r="B26" s="5" t="n">
        <v>10</v>
      </c>
      <c r="C26" s="6" t="inlineStr">
        <is>
          <t>USD/mo</t>
        </is>
      </c>
      <c r="D26" s="4" t="inlineStr">
        <is>
          <t>Testing, tools, ad experiments</t>
        </is>
      </c>
    </row>
    <row r="27" ht="20" customHeight="1">
      <c r="A27" s="3" t="inlineStr">
        <is>
          <t>SUNK BUILD COSTS (USD)</t>
        </is>
      </c>
    </row>
    <row r="28" ht="18" customHeight="1">
      <c r="A28" s="4" t="inlineStr">
        <is>
          <t>Dev hours (estimated)</t>
        </is>
      </c>
      <c r="B28" s="8" t="n">
        <v>400</v>
      </c>
      <c r="C28" s="6" t="inlineStr">
        <is>
          <t>hours</t>
        </is>
      </c>
      <c r="D28" s="4" t="inlineStr">
        <is>
          <t>Claude-assisted development</t>
        </is>
      </c>
    </row>
    <row r="29" ht="18" customHeight="1">
      <c r="A29" s="4" t="inlineStr">
        <is>
          <t>Market rate</t>
        </is>
      </c>
      <c r="B29" s="8" t="n">
        <v>80</v>
      </c>
      <c r="C29" s="6" t="inlineStr">
        <is>
          <t>USD/hr</t>
        </is>
      </c>
      <c r="D29" s="4" t="inlineStr">
        <is>
          <t>Mid-level full-stack, est. USD rate</t>
        </is>
      </c>
    </row>
    <row r="30" ht="18" customHeight="1">
      <c r="A30" s="4" t="inlineStr">
        <is>
          <t>Implied sweat equity</t>
        </is>
      </c>
      <c r="B30" s="9" t="n">
        <v>32000</v>
      </c>
      <c r="C30" s="6" t="inlineStr">
        <is>
          <t>USD</t>
        </is>
      </c>
      <c r="D30" s="4" t="inlineStr">
        <is>
          <t>Hours × rate — sunk cost, not cash</t>
        </is>
      </c>
    </row>
    <row r="31" ht="18" customHeight="1">
      <c r="A31" s="4" t="inlineStr">
        <is>
          <t>Google Play one-time</t>
        </is>
      </c>
      <c r="B31" s="8" t="n">
        <v>25</v>
      </c>
      <c r="C31" s="6" t="inlineStr">
        <is>
          <t>USD</t>
        </is>
      </c>
      <c r="D31" s="4" t="inlineStr">
        <is>
          <t>Already paid ✅</t>
        </is>
      </c>
    </row>
    <row r="32" ht="18" customHeight="1">
      <c r="A32" s="4" t="inlineStr">
        <is>
          <t>Apple Developer (yr 1)</t>
        </is>
      </c>
      <c r="B32" s="8" t="n">
        <v>99</v>
      </c>
      <c r="C32" s="6" t="inlineStr">
        <is>
          <t>USD</t>
        </is>
      </c>
      <c r="D32" s="4" t="inlineStr">
        <is>
          <t>Pending ⏳</t>
        </is>
      </c>
    </row>
    <row r="33" ht="18" customHeight="1">
      <c r="A33" s="4" t="inlineStr">
        <is>
          <t>Domain registration</t>
        </is>
      </c>
      <c r="B33" s="8" t="n">
        <v>12</v>
      </c>
      <c r="C33" s="6" t="inlineStr">
        <is>
          <t>USD</t>
        </is>
      </c>
      <c r="D33" s="4" t="inlineStr">
        <is>
          <t>Already registered ✅</t>
        </is>
      </c>
    </row>
    <row r="34" ht="18" customHeight="1">
      <c r="A34" s="4" t="inlineStr">
        <is>
          <t>Total cash out-of-pocket</t>
        </is>
      </c>
      <c r="B34" s="8" t="n">
        <v>136</v>
      </c>
      <c r="C34" s="6" t="inlineStr">
        <is>
          <t>USD</t>
        </is>
      </c>
      <c r="D34" s="4">
        <f> Google Play + Apple + Domain</f>
        <v/>
      </c>
    </row>
  </sheetData>
  <mergeCells count="7">
    <mergeCell ref="A1:D1"/>
    <mergeCell ref="A17:D17"/>
    <mergeCell ref="A27:D27"/>
    <mergeCell ref="A8:D8"/>
    <mergeCell ref="A3:D3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</cols>
  <sheetData>
    <row r="1" ht="34" customHeight="1">
      <c r="A1" s="1" t="inlineStr">
        <is>
          <t>SOULGAINZ  ·  24-Month Revenue Model  (USD, Base Case)</t>
        </is>
      </c>
    </row>
    <row r="2" ht="20" customHeight="1">
      <c r="A2" s="10" t="inlineStr">
        <is>
          <t>Metric</t>
        </is>
      </c>
      <c r="B2" s="10" t="inlineStr">
        <is>
          <t>M1</t>
        </is>
      </c>
      <c r="C2" s="10" t="inlineStr">
        <is>
          <t>M2</t>
        </is>
      </c>
      <c r="D2" s="10" t="inlineStr">
        <is>
          <t>M3</t>
        </is>
      </c>
      <c r="E2" s="10" t="inlineStr">
        <is>
          <t>M4</t>
        </is>
      </c>
      <c r="F2" s="10" t="inlineStr">
        <is>
          <t>M5</t>
        </is>
      </c>
      <c r="G2" s="10" t="inlineStr">
        <is>
          <t>M6</t>
        </is>
      </c>
      <c r="H2" s="10" t="inlineStr">
        <is>
          <t>M7</t>
        </is>
      </c>
      <c r="I2" s="10" t="inlineStr">
        <is>
          <t>M8</t>
        </is>
      </c>
      <c r="J2" s="10" t="inlineStr">
        <is>
          <t>M9</t>
        </is>
      </c>
      <c r="K2" s="10" t="inlineStr">
        <is>
          <t>M10</t>
        </is>
      </c>
      <c r="L2" s="10" t="inlineStr">
        <is>
          <t>M11</t>
        </is>
      </c>
      <c r="M2" s="10" t="inlineStr">
        <is>
          <t>M12</t>
        </is>
      </c>
      <c r="N2" s="10" t="inlineStr">
        <is>
          <t>M13</t>
        </is>
      </c>
      <c r="O2" s="10" t="inlineStr">
        <is>
          <t>M14</t>
        </is>
      </c>
      <c r="P2" s="10" t="inlineStr">
        <is>
          <t>M15</t>
        </is>
      </c>
      <c r="Q2" s="10" t="inlineStr">
        <is>
          <t>M16</t>
        </is>
      </c>
      <c r="R2" s="10" t="inlineStr">
        <is>
          <t>M17</t>
        </is>
      </c>
      <c r="S2" s="10" t="inlineStr">
        <is>
          <t>M18</t>
        </is>
      </c>
      <c r="T2" s="10" t="inlineStr">
        <is>
          <t>M19</t>
        </is>
      </c>
      <c r="U2" s="10" t="inlineStr">
        <is>
          <t>M20</t>
        </is>
      </c>
      <c r="V2" s="10" t="inlineStr">
        <is>
          <t>M21</t>
        </is>
      </c>
      <c r="W2" s="10" t="inlineStr">
        <is>
          <t>M22</t>
        </is>
      </c>
      <c r="X2" s="10" t="inlineStr">
        <is>
          <t>M23</t>
        </is>
      </c>
      <c r="Y2" s="10" t="inlineStr">
        <is>
          <t>M24</t>
        </is>
      </c>
    </row>
    <row r="3" ht="20" customHeight="1">
      <c r="A3" s="3" t="inlineStr">
        <is>
          <t>FREE USERS</t>
        </is>
      </c>
    </row>
    <row r="4" ht="17" customHeight="1">
      <c r="A4" s="11" t="inlineStr">
        <is>
          <t xml:space="preserve">  New signups</t>
        </is>
      </c>
      <c r="B4" s="12">
        <f>'Assumptions'!B15</f>
        <v/>
      </c>
      <c r="C4" s="13">
        <f>ROUND(B4*(1+'Assumptions'!B16),0)</f>
        <v/>
      </c>
      <c r="D4" s="13">
        <f>ROUND(C4*(1+'Assumptions'!B16),0)</f>
        <v/>
      </c>
      <c r="E4" s="13">
        <f>ROUND(D4*(1+'Assumptions'!B16),0)</f>
        <v/>
      </c>
      <c r="F4" s="13">
        <f>ROUND(E4*(1+'Assumptions'!B16),0)</f>
        <v/>
      </c>
      <c r="G4" s="13">
        <f>ROUND(F4*(1+'Assumptions'!B16),0)</f>
        <v/>
      </c>
      <c r="H4" s="13">
        <f>ROUND(G4*(1+'Assumptions'!B16),0)</f>
        <v/>
      </c>
      <c r="I4" s="13">
        <f>ROUND(H4*(1+'Assumptions'!B16),0)</f>
        <v/>
      </c>
      <c r="J4" s="13">
        <f>ROUND(I4*(1+'Assumptions'!B16),0)</f>
        <v/>
      </c>
      <c r="K4" s="13">
        <f>ROUND(J4*(1+'Assumptions'!B16),0)</f>
        <v/>
      </c>
      <c r="L4" s="13">
        <f>ROUND(K4*(1+'Assumptions'!B16),0)</f>
        <v/>
      </c>
      <c r="M4" s="13">
        <f>ROUND(L4*(1+'Assumptions'!B16),0)</f>
        <v/>
      </c>
      <c r="N4" s="13">
        <f>ROUND(M4*(1+'Assumptions'!B16),0)</f>
        <v/>
      </c>
      <c r="O4" s="13">
        <f>ROUND(N4*(1+'Assumptions'!B16),0)</f>
        <v/>
      </c>
      <c r="P4" s="13">
        <f>ROUND(O4*(1+'Assumptions'!B16),0)</f>
        <v/>
      </c>
      <c r="Q4" s="13">
        <f>ROUND(P4*(1+'Assumptions'!B16),0)</f>
        <v/>
      </c>
      <c r="R4" s="13">
        <f>ROUND(Q4*(1+'Assumptions'!B16),0)</f>
        <v/>
      </c>
      <c r="S4" s="13">
        <f>ROUND(R4*(1+'Assumptions'!B16),0)</f>
        <v/>
      </c>
      <c r="T4" s="13">
        <f>ROUND(S4*(1+'Assumptions'!B16),0)</f>
        <v/>
      </c>
      <c r="U4" s="13">
        <f>ROUND(T4*(1+'Assumptions'!B16),0)</f>
        <v/>
      </c>
      <c r="V4" s="13">
        <f>ROUND(U4*(1+'Assumptions'!B16),0)</f>
        <v/>
      </c>
      <c r="W4" s="13">
        <f>ROUND(V4*(1+'Assumptions'!B16),0)</f>
        <v/>
      </c>
      <c r="X4" s="13">
        <f>ROUND(W4*(1+'Assumptions'!B16),0)</f>
        <v/>
      </c>
      <c r="Y4" s="13">
        <f>ROUND(X4*(1+'Assumptions'!B16),0)</f>
        <v/>
      </c>
    </row>
    <row r="5" ht="17" customHeight="1">
      <c r="A5" s="11" t="inlineStr">
        <is>
          <t xml:space="preserve">  Cumulative free users</t>
        </is>
      </c>
      <c r="B5" s="14">
        <f>B4</f>
        <v/>
      </c>
      <c r="C5" s="14">
        <f>IFERROR(B5+C4-C7,0)</f>
        <v/>
      </c>
      <c r="D5" s="14">
        <f>IFERROR(C5+D4-D7,0)</f>
        <v/>
      </c>
      <c r="E5" s="14">
        <f>IFERROR(D5+E4-E7,0)</f>
        <v/>
      </c>
      <c r="F5" s="14">
        <f>IFERROR(E5+F4-F7,0)</f>
        <v/>
      </c>
      <c r="G5" s="14">
        <f>IFERROR(F5+G4-G7,0)</f>
        <v/>
      </c>
      <c r="H5" s="14">
        <f>IFERROR(G5+H4-H7,0)</f>
        <v/>
      </c>
      <c r="I5" s="14">
        <f>IFERROR(H5+I4-I7,0)</f>
        <v/>
      </c>
      <c r="J5" s="14">
        <f>IFERROR(I5+J4-J7,0)</f>
        <v/>
      </c>
      <c r="K5" s="14">
        <f>IFERROR(J5+K4-K7,0)</f>
        <v/>
      </c>
      <c r="L5" s="14">
        <f>IFERROR(K5+L4-L7,0)</f>
        <v/>
      </c>
      <c r="M5" s="14">
        <f>IFERROR(L5+M4-M7,0)</f>
        <v/>
      </c>
      <c r="N5" s="14">
        <f>IFERROR(M5+N4-N7,0)</f>
        <v/>
      </c>
      <c r="O5" s="14">
        <f>IFERROR(N5+O4-O7,0)</f>
        <v/>
      </c>
      <c r="P5" s="14">
        <f>IFERROR(O5+P4-P7,0)</f>
        <v/>
      </c>
      <c r="Q5" s="14">
        <f>IFERROR(P5+Q4-Q7,0)</f>
        <v/>
      </c>
      <c r="R5" s="14">
        <f>IFERROR(Q5+R4-R7,0)</f>
        <v/>
      </c>
      <c r="S5" s="14">
        <f>IFERROR(R5+S4-S7,0)</f>
        <v/>
      </c>
      <c r="T5" s="14">
        <f>IFERROR(S5+T4-T7,0)</f>
        <v/>
      </c>
      <c r="U5" s="14">
        <f>IFERROR(T5+U4-U7,0)</f>
        <v/>
      </c>
      <c r="V5" s="14">
        <f>IFERROR(U5+V4-V7,0)</f>
        <v/>
      </c>
      <c r="W5" s="14">
        <f>IFERROR(V5+W4-W7,0)</f>
        <v/>
      </c>
      <c r="X5" s="14">
        <f>IFERROR(W5+X4-X7,0)</f>
        <v/>
      </c>
      <c r="Y5" s="14">
        <f>IFERROR(X5+Y4-Y7,0)</f>
        <v/>
      </c>
    </row>
    <row r="6" ht="20" customHeight="1">
      <c r="A6" s="3" t="inlineStr">
        <is>
          <t>SUBSCRIBERS</t>
        </is>
      </c>
    </row>
    <row r="7" ht="17" customHeight="1">
      <c r="A7" s="11" t="inlineStr">
        <is>
          <t xml:space="preserve">  New paid converts</t>
        </is>
      </c>
      <c r="B7" s="14">
        <f>ROUND(B4*'Assumptions'!B10,0)</f>
        <v/>
      </c>
      <c r="C7" s="14">
        <f>ROUND(C4*'Assumptions'!B10,0)</f>
        <v/>
      </c>
      <c r="D7" s="14">
        <f>ROUND(D4*'Assumptions'!B10,0)</f>
        <v/>
      </c>
      <c r="E7" s="14">
        <f>ROUND(E4*'Assumptions'!B10,0)</f>
        <v/>
      </c>
      <c r="F7" s="14">
        <f>ROUND(F4*'Assumptions'!B10,0)</f>
        <v/>
      </c>
      <c r="G7" s="14">
        <f>ROUND(G4*'Assumptions'!B10,0)</f>
        <v/>
      </c>
      <c r="H7" s="14">
        <f>ROUND(H4*'Assumptions'!B10,0)</f>
        <v/>
      </c>
      <c r="I7" s="14">
        <f>ROUND(I4*'Assumptions'!B10,0)</f>
        <v/>
      </c>
      <c r="J7" s="14">
        <f>ROUND(J4*'Assumptions'!B10,0)</f>
        <v/>
      </c>
      <c r="K7" s="14">
        <f>ROUND(K4*'Assumptions'!B10,0)</f>
        <v/>
      </c>
      <c r="L7" s="14">
        <f>ROUND(L4*'Assumptions'!B10,0)</f>
        <v/>
      </c>
      <c r="M7" s="14">
        <f>ROUND(M4*'Assumptions'!B10,0)</f>
        <v/>
      </c>
      <c r="N7" s="14">
        <f>ROUND(N4*'Assumptions'!B10,0)</f>
        <v/>
      </c>
      <c r="O7" s="14">
        <f>ROUND(O4*'Assumptions'!B10,0)</f>
        <v/>
      </c>
      <c r="P7" s="14">
        <f>ROUND(P4*'Assumptions'!B10,0)</f>
        <v/>
      </c>
      <c r="Q7" s="14">
        <f>ROUND(Q4*'Assumptions'!B10,0)</f>
        <v/>
      </c>
      <c r="R7" s="14">
        <f>ROUND(R4*'Assumptions'!B10,0)</f>
        <v/>
      </c>
      <c r="S7" s="14">
        <f>ROUND(S4*'Assumptions'!B10,0)</f>
        <v/>
      </c>
      <c r="T7" s="14">
        <f>ROUND(T4*'Assumptions'!B10,0)</f>
        <v/>
      </c>
      <c r="U7" s="14">
        <f>ROUND(U4*'Assumptions'!B10,0)</f>
        <v/>
      </c>
      <c r="V7" s="14">
        <f>ROUND(V4*'Assumptions'!B10,0)</f>
        <v/>
      </c>
      <c r="W7" s="14">
        <f>ROUND(W4*'Assumptions'!B10,0)</f>
        <v/>
      </c>
      <c r="X7" s="14">
        <f>ROUND(X4*'Assumptions'!B10,0)</f>
        <v/>
      </c>
      <c r="Y7" s="14">
        <f>ROUND(Y4*'Assumptions'!B10,0)</f>
        <v/>
      </c>
    </row>
    <row r="8" ht="17" customHeight="1">
      <c r="A8" s="11" t="inlineStr">
        <is>
          <t xml:space="preserve">  Monthly subs (active)</t>
        </is>
      </c>
      <c r="B8" s="14">
        <f>ROUND(B7*'Assumptions'!B9,0)</f>
        <v/>
      </c>
      <c r="C8" s="14">
        <f>ROUND((B8+C7*'Assumptions'!B9)*(1-'Assumptions'!B12),0)</f>
        <v/>
      </c>
      <c r="D8" s="14">
        <f>ROUND((C8+D7*'Assumptions'!B9)*(1-'Assumptions'!B12),0)</f>
        <v/>
      </c>
      <c r="E8" s="14">
        <f>ROUND((D8+E7*'Assumptions'!B9)*(1-'Assumptions'!B12),0)</f>
        <v/>
      </c>
      <c r="F8" s="14">
        <f>ROUND((E8+F7*'Assumptions'!B9)*(1-'Assumptions'!B12),0)</f>
        <v/>
      </c>
      <c r="G8" s="14">
        <f>ROUND((F8+G7*'Assumptions'!B9)*(1-'Assumptions'!B12),0)</f>
        <v/>
      </c>
      <c r="H8" s="14">
        <f>ROUND((G8+H7*'Assumptions'!B9)*(1-'Assumptions'!B12),0)</f>
        <v/>
      </c>
      <c r="I8" s="14">
        <f>ROUND((H8+I7*'Assumptions'!B9)*(1-'Assumptions'!B12),0)</f>
        <v/>
      </c>
      <c r="J8" s="14">
        <f>ROUND((I8+J7*'Assumptions'!B9)*(1-'Assumptions'!B12),0)</f>
        <v/>
      </c>
      <c r="K8" s="14">
        <f>ROUND((J8+K7*'Assumptions'!B9)*(1-'Assumptions'!B12),0)</f>
        <v/>
      </c>
      <c r="L8" s="14">
        <f>ROUND((K8+L7*'Assumptions'!B9)*(1-'Assumptions'!B12),0)</f>
        <v/>
      </c>
      <c r="M8" s="14">
        <f>ROUND((L8+M7*'Assumptions'!B9)*(1-'Assumptions'!B12),0)</f>
        <v/>
      </c>
      <c r="N8" s="14">
        <f>ROUND((M8+N7*'Assumptions'!B9)*(1-'Assumptions'!B12),0)</f>
        <v/>
      </c>
      <c r="O8" s="14">
        <f>ROUND((N8+O7*'Assumptions'!B9)*(1-'Assumptions'!B12),0)</f>
        <v/>
      </c>
      <c r="P8" s="14">
        <f>ROUND((O8+P7*'Assumptions'!B9)*(1-'Assumptions'!B12),0)</f>
        <v/>
      </c>
      <c r="Q8" s="14">
        <f>ROUND((P8+Q7*'Assumptions'!B9)*(1-'Assumptions'!B12),0)</f>
        <v/>
      </c>
      <c r="R8" s="14">
        <f>ROUND((Q8+R7*'Assumptions'!B9)*(1-'Assumptions'!B12),0)</f>
        <v/>
      </c>
      <c r="S8" s="14">
        <f>ROUND((R8+S7*'Assumptions'!B9)*(1-'Assumptions'!B12),0)</f>
        <v/>
      </c>
      <c r="T8" s="14">
        <f>ROUND((S8+T7*'Assumptions'!B9)*(1-'Assumptions'!B12),0)</f>
        <v/>
      </c>
      <c r="U8" s="14">
        <f>ROUND((T8+U7*'Assumptions'!B9)*(1-'Assumptions'!B12),0)</f>
        <v/>
      </c>
      <c r="V8" s="14">
        <f>ROUND((U8+V7*'Assumptions'!B9)*(1-'Assumptions'!B12),0)</f>
        <v/>
      </c>
      <c r="W8" s="14">
        <f>ROUND((V8+W7*'Assumptions'!B9)*(1-'Assumptions'!B12),0)</f>
        <v/>
      </c>
      <c r="X8" s="14">
        <f>ROUND((W8+X7*'Assumptions'!B9)*(1-'Assumptions'!B12),0)</f>
        <v/>
      </c>
      <c r="Y8" s="14">
        <f>ROUND((X8+Y7*'Assumptions'!B9)*(1-'Assumptions'!B12),0)</f>
        <v/>
      </c>
    </row>
    <row r="9" ht="17" customHeight="1">
      <c r="A9" s="11" t="inlineStr">
        <is>
          <t xml:space="preserve">  Annual subs (active)</t>
        </is>
      </c>
      <c r="B9" s="14">
        <f>ROUND(B7*(1-'Assumptions'!B9),0)</f>
        <v/>
      </c>
      <c r="C9" s="14">
        <f>ROUND(B9*(1-(1-'Assumptions'!B13)/12)+C7*(1-'Assumptions'!B9),0)</f>
        <v/>
      </c>
      <c r="D9" s="14">
        <f>ROUND(C9*(1-(1-'Assumptions'!B13)/12)+D7*(1-'Assumptions'!B9),0)</f>
        <v/>
      </c>
      <c r="E9" s="14">
        <f>ROUND(D9*(1-(1-'Assumptions'!B13)/12)+E7*(1-'Assumptions'!B9),0)</f>
        <v/>
      </c>
      <c r="F9" s="14">
        <f>ROUND(E9*(1-(1-'Assumptions'!B13)/12)+F7*(1-'Assumptions'!B9),0)</f>
        <v/>
      </c>
      <c r="G9" s="14">
        <f>ROUND(F9*(1-(1-'Assumptions'!B13)/12)+G7*(1-'Assumptions'!B9),0)</f>
        <v/>
      </c>
      <c r="H9" s="14">
        <f>ROUND(G9*(1-(1-'Assumptions'!B13)/12)+H7*(1-'Assumptions'!B9),0)</f>
        <v/>
      </c>
      <c r="I9" s="14">
        <f>ROUND(H9*(1-(1-'Assumptions'!B13)/12)+I7*(1-'Assumptions'!B9),0)</f>
        <v/>
      </c>
      <c r="J9" s="14">
        <f>ROUND(I9*(1-(1-'Assumptions'!B13)/12)+J7*(1-'Assumptions'!B9),0)</f>
        <v/>
      </c>
      <c r="K9" s="14">
        <f>ROUND(J9*(1-(1-'Assumptions'!B13)/12)+K7*(1-'Assumptions'!B9),0)</f>
        <v/>
      </c>
      <c r="L9" s="14">
        <f>ROUND(K9*(1-(1-'Assumptions'!B13)/12)+L7*(1-'Assumptions'!B9),0)</f>
        <v/>
      </c>
      <c r="M9" s="14">
        <f>ROUND(L9*(1-(1-'Assumptions'!B13)/12)+M7*(1-'Assumptions'!B9),0)</f>
        <v/>
      </c>
      <c r="N9" s="14">
        <f>ROUND(M9*(1-(1-'Assumptions'!B13)/12)+N7*(1-'Assumptions'!B9),0)</f>
        <v/>
      </c>
      <c r="O9" s="14">
        <f>ROUND(N9*(1-(1-'Assumptions'!B13)/12)+O7*(1-'Assumptions'!B9),0)</f>
        <v/>
      </c>
      <c r="P9" s="14">
        <f>ROUND(O9*(1-(1-'Assumptions'!B13)/12)+P7*(1-'Assumptions'!B9),0)</f>
        <v/>
      </c>
      <c r="Q9" s="14">
        <f>ROUND(P9*(1-(1-'Assumptions'!B13)/12)+Q7*(1-'Assumptions'!B9),0)</f>
        <v/>
      </c>
      <c r="R9" s="14">
        <f>ROUND(Q9*(1-(1-'Assumptions'!B13)/12)+R7*(1-'Assumptions'!B9),0)</f>
        <v/>
      </c>
      <c r="S9" s="14">
        <f>ROUND(R9*(1-(1-'Assumptions'!B13)/12)+S7*(1-'Assumptions'!B9),0)</f>
        <v/>
      </c>
      <c r="T9" s="14">
        <f>ROUND(S9*(1-(1-'Assumptions'!B13)/12)+T7*(1-'Assumptions'!B9),0)</f>
        <v/>
      </c>
      <c r="U9" s="14">
        <f>ROUND(T9*(1-(1-'Assumptions'!B13)/12)+U7*(1-'Assumptions'!B9),0)</f>
        <v/>
      </c>
      <c r="V9" s="14">
        <f>ROUND(U9*(1-(1-'Assumptions'!B13)/12)+V7*(1-'Assumptions'!B9),0)</f>
        <v/>
      </c>
      <c r="W9" s="14">
        <f>ROUND(V9*(1-(1-'Assumptions'!B13)/12)+W7*(1-'Assumptions'!B9),0)</f>
        <v/>
      </c>
      <c r="X9" s="14">
        <f>ROUND(W9*(1-(1-'Assumptions'!B13)/12)+X7*(1-'Assumptions'!B9),0)</f>
        <v/>
      </c>
      <c r="Y9" s="14">
        <f>ROUND(X9*(1-(1-'Assumptions'!B13)/12)+Y7*(1-'Assumptions'!B9),0)</f>
        <v/>
      </c>
    </row>
    <row r="10" ht="17" customHeight="1">
      <c r="A10" s="11" t="inlineStr">
        <is>
          <t xml:space="preserve">  Total paying users</t>
        </is>
      </c>
      <c r="B10" s="15">
        <f>B8+B9</f>
        <v/>
      </c>
      <c r="C10" s="15">
        <f>C8+C9</f>
        <v/>
      </c>
      <c r="D10" s="15">
        <f>D8+D9</f>
        <v/>
      </c>
      <c r="E10" s="15">
        <f>E8+E9</f>
        <v/>
      </c>
      <c r="F10" s="15">
        <f>F8+F9</f>
        <v/>
      </c>
      <c r="G10" s="15">
        <f>G8+G9</f>
        <v/>
      </c>
      <c r="H10" s="15">
        <f>H8+H9</f>
        <v/>
      </c>
      <c r="I10" s="15">
        <f>I8+I9</f>
        <v/>
      </c>
      <c r="J10" s="15">
        <f>J8+J9</f>
        <v/>
      </c>
      <c r="K10" s="15">
        <f>K8+K9</f>
        <v/>
      </c>
      <c r="L10" s="15">
        <f>L8+L9</f>
        <v/>
      </c>
      <c r="M10" s="15">
        <f>M8+M9</f>
        <v/>
      </c>
      <c r="N10" s="15">
        <f>N8+N9</f>
        <v/>
      </c>
      <c r="O10" s="15">
        <f>O8+O9</f>
        <v/>
      </c>
      <c r="P10" s="15">
        <f>P8+P9</f>
        <v/>
      </c>
      <c r="Q10" s="15">
        <f>Q8+Q9</f>
        <v/>
      </c>
      <c r="R10" s="15">
        <f>R8+R9</f>
        <v/>
      </c>
      <c r="S10" s="15">
        <f>S8+S9</f>
        <v/>
      </c>
      <c r="T10" s="15">
        <f>T8+T9</f>
        <v/>
      </c>
      <c r="U10" s="15">
        <f>U8+U9</f>
        <v/>
      </c>
      <c r="V10" s="15">
        <f>V8+V9</f>
        <v/>
      </c>
      <c r="W10" s="15">
        <f>W8+W9</f>
        <v/>
      </c>
      <c r="X10" s="15">
        <f>X8+X9</f>
        <v/>
      </c>
      <c r="Y10" s="15">
        <f>Y8+Y9</f>
        <v/>
      </c>
    </row>
    <row r="11" ht="20" customHeight="1">
      <c r="A11" s="3" t="inlineStr">
        <is>
          <t>REVENUE</t>
        </is>
      </c>
    </row>
    <row r="12" ht="17" customHeight="1">
      <c r="A12" s="11" t="inlineStr">
        <is>
          <t xml:space="preserve">  Monthly sub revenue</t>
        </is>
      </c>
      <c r="B12" s="16">
        <f>B8*'Assumptions'!B4</f>
        <v/>
      </c>
      <c r="C12" s="16">
        <f>C8*'Assumptions'!B4</f>
        <v/>
      </c>
      <c r="D12" s="16">
        <f>D8*'Assumptions'!B4</f>
        <v/>
      </c>
      <c r="E12" s="16">
        <f>E8*'Assumptions'!B4</f>
        <v/>
      </c>
      <c r="F12" s="16">
        <f>F8*'Assumptions'!B4</f>
        <v/>
      </c>
      <c r="G12" s="16">
        <f>G8*'Assumptions'!B4</f>
        <v/>
      </c>
      <c r="H12" s="16">
        <f>H8*'Assumptions'!B4</f>
        <v/>
      </c>
      <c r="I12" s="16">
        <f>I8*'Assumptions'!B4</f>
        <v/>
      </c>
      <c r="J12" s="16">
        <f>J8*'Assumptions'!B4</f>
        <v/>
      </c>
      <c r="K12" s="16">
        <f>K8*'Assumptions'!B4</f>
        <v/>
      </c>
      <c r="L12" s="16">
        <f>L8*'Assumptions'!B4</f>
        <v/>
      </c>
      <c r="M12" s="16">
        <f>M8*'Assumptions'!B4</f>
        <v/>
      </c>
      <c r="N12" s="16">
        <f>N8*'Assumptions'!B4</f>
        <v/>
      </c>
      <c r="O12" s="16">
        <f>O8*'Assumptions'!B4</f>
        <v/>
      </c>
      <c r="P12" s="16">
        <f>P8*'Assumptions'!B4</f>
        <v/>
      </c>
      <c r="Q12" s="16">
        <f>Q8*'Assumptions'!B4</f>
        <v/>
      </c>
      <c r="R12" s="16">
        <f>R8*'Assumptions'!B4</f>
        <v/>
      </c>
      <c r="S12" s="16">
        <f>S8*'Assumptions'!B4</f>
        <v/>
      </c>
      <c r="T12" s="16">
        <f>T8*'Assumptions'!B4</f>
        <v/>
      </c>
      <c r="U12" s="16">
        <f>U8*'Assumptions'!B4</f>
        <v/>
      </c>
      <c r="V12" s="16">
        <f>V8*'Assumptions'!B4</f>
        <v/>
      </c>
      <c r="W12" s="16">
        <f>W8*'Assumptions'!B4</f>
        <v/>
      </c>
      <c r="X12" s="16">
        <f>X8*'Assumptions'!B4</f>
        <v/>
      </c>
      <c r="Y12" s="16">
        <f>Y8*'Assumptions'!B4</f>
        <v/>
      </c>
    </row>
    <row r="13" ht="17" customHeight="1">
      <c r="A13" s="11" t="inlineStr">
        <is>
          <t xml:space="preserve">  Annual sub revenue (1/12)</t>
        </is>
      </c>
      <c r="B13" s="16">
        <f>B9*'Assumptions'!B5/12</f>
        <v/>
      </c>
      <c r="C13" s="16">
        <f>C9*'Assumptions'!B5/12</f>
        <v/>
      </c>
      <c r="D13" s="16">
        <f>D9*'Assumptions'!B5/12</f>
        <v/>
      </c>
      <c r="E13" s="16">
        <f>E9*'Assumptions'!B5/12</f>
        <v/>
      </c>
      <c r="F13" s="16">
        <f>F9*'Assumptions'!B5/12</f>
        <v/>
      </c>
      <c r="G13" s="16">
        <f>G9*'Assumptions'!B5/12</f>
        <v/>
      </c>
      <c r="H13" s="16">
        <f>H9*'Assumptions'!B5/12</f>
        <v/>
      </c>
      <c r="I13" s="16">
        <f>I9*'Assumptions'!B5/12</f>
        <v/>
      </c>
      <c r="J13" s="16">
        <f>J9*'Assumptions'!B5/12</f>
        <v/>
      </c>
      <c r="K13" s="16">
        <f>K9*'Assumptions'!B5/12</f>
        <v/>
      </c>
      <c r="L13" s="16">
        <f>L9*'Assumptions'!B5/12</f>
        <v/>
      </c>
      <c r="M13" s="16">
        <f>M9*'Assumptions'!B5/12</f>
        <v/>
      </c>
      <c r="N13" s="16">
        <f>N9*'Assumptions'!B5/12</f>
        <v/>
      </c>
      <c r="O13" s="16">
        <f>O9*'Assumptions'!B5/12</f>
        <v/>
      </c>
      <c r="P13" s="16">
        <f>P9*'Assumptions'!B5/12</f>
        <v/>
      </c>
      <c r="Q13" s="16">
        <f>Q9*'Assumptions'!B5/12</f>
        <v/>
      </c>
      <c r="R13" s="16">
        <f>R9*'Assumptions'!B5/12</f>
        <v/>
      </c>
      <c r="S13" s="16">
        <f>S9*'Assumptions'!B5/12</f>
        <v/>
      </c>
      <c r="T13" s="16">
        <f>T9*'Assumptions'!B5/12</f>
        <v/>
      </c>
      <c r="U13" s="16">
        <f>U9*'Assumptions'!B5/12</f>
        <v/>
      </c>
      <c r="V13" s="16">
        <f>V9*'Assumptions'!B5/12</f>
        <v/>
      </c>
      <c r="W13" s="16">
        <f>W9*'Assumptions'!B5/12</f>
        <v/>
      </c>
      <c r="X13" s="16">
        <f>X9*'Assumptions'!B5/12</f>
        <v/>
      </c>
      <c r="Y13" s="16">
        <f>Y9*'Assumptions'!B5/12</f>
        <v/>
      </c>
    </row>
    <row r="14" ht="17" customHeight="1">
      <c r="A14" s="11" t="inlineStr">
        <is>
          <t xml:space="preserve">  Gross revenue</t>
        </is>
      </c>
      <c r="B14" s="17">
        <f>B12+B13</f>
        <v/>
      </c>
      <c r="C14" s="17">
        <f>C12+C13</f>
        <v/>
      </c>
      <c r="D14" s="17">
        <f>D12+D13</f>
        <v/>
      </c>
      <c r="E14" s="17">
        <f>E12+E13</f>
        <v/>
      </c>
      <c r="F14" s="17">
        <f>F12+F13</f>
        <v/>
      </c>
      <c r="G14" s="17">
        <f>G12+G13</f>
        <v/>
      </c>
      <c r="H14" s="17">
        <f>H12+H13</f>
        <v/>
      </c>
      <c r="I14" s="17">
        <f>I12+I13</f>
        <v/>
      </c>
      <c r="J14" s="17">
        <f>J12+J13</f>
        <v/>
      </c>
      <c r="K14" s="17">
        <f>K12+K13</f>
        <v/>
      </c>
      <c r="L14" s="17">
        <f>L12+L13</f>
        <v/>
      </c>
      <c r="M14" s="17">
        <f>M12+M13</f>
        <v/>
      </c>
      <c r="N14" s="17">
        <f>N12+N13</f>
        <v/>
      </c>
      <c r="O14" s="17">
        <f>O12+O13</f>
        <v/>
      </c>
      <c r="P14" s="17">
        <f>P12+P13</f>
        <v/>
      </c>
      <c r="Q14" s="17">
        <f>Q12+Q13</f>
        <v/>
      </c>
      <c r="R14" s="17">
        <f>R12+R13</f>
        <v/>
      </c>
      <c r="S14" s="17">
        <f>S12+S13</f>
        <v/>
      </c>
      <c r="T14" s="17">
        <f>T12+T13</f>
        <v/>
      </c>
      <c r="U14" s="17">
        <f>U12+U13</f>
        <v/>
      </c>
      <c r="V14" s="17">
        <f>V12+V13</f>
        <v/>
      </c>
      <c r="W14" s="17">
        <f>W12+W13</f>
        <v/>
      </c>
      <c r="X14" s="17">
        <f>X12+X13</f>
        <v/>
      </c>
      <c r="Y14" s="17">
        <f>Y12+Y13</f>
        <v/>
      </c>
    </row>
    <row r="15" ht="17" customHeight="1">
      <c r="A15" s="11" t="inlineStr">
        <is>
          <t xml:space="preserve">  Stripe fees</t>
        </is>
      </c>
      <c r="B15" s="18">
        <f>-(B14*'Assumptions'!B6+'Assumptions'!B7*B10)</f>
        <v/>
      </c>
      <c r="C15" s="18">
        <f>-(C14*'Assumptions'!B6+'Assumptions'!B7*C10)</f>
        <v/>
      </c>
      <c r="D15" s="18">
        <f>-(D14*'Assumptions'!B6+'Assumptions'!B7*D10)</f>
        <v/>
      </c>
      <c r="E15" s="18">
        <f>-(E14*'Assumptions'!B6+'Assumptions'!B7*E10)</f>
        <v/>
      </c>
      <c r="F15" s="18">
        <f>-(F14*'Assumptions'!B6+'Assumptions'!B7*F10)</f>
        <v/>
      </c>
      <c r="G15" s="18">
        <f>-(G14*'Assumptions'!B6+'Assumptions'!B7*G10)</f>
        <v/>
      </c>
      <c r="H15" s="18">
        <f>-(H14*'Assumptions'!B6+'Assumptions'!B7*H10)</f>
        <v/>
      </c>
      <c r="I15" s="18">
        <f>-(I14*'Assumptions'!B6+'Assumptions'!B7*I10)</f>
        <v/>
      </c>
      <c r="J15" s="18">
        <f>-(J14*'Assumptions'!B6+'Assumptions'!B7*J10)</f>
        <v/>
      </c>
      <c r="K15" s="18">
        <f>-(K14*'Assumptions'!B6+'Assumptions'!B7*K10)</f>
        <v/>
      </c>
      <c r="L15" s="18">
        <f>-(L14*'Assumptions'!B6+'Assumptions'!B7*L10)</f>
        <v/>
      </c>
      <c r="M15" s="18">
        <f>-(M14*'Assumptions'!B6+'Assumptions'!B7*M10)</f>
        <v/>
      </c>
      <c r="N15" s="18">
        <f>-(N14*'Assumptions'!B6+'Assumptions'!B7*N10)</f>
        <v/>
      </c>
      <c r="O15" s="18">
        <f>-(O14*'Assumptions'!B6+'Assumptions'!B7*O10)</f>
        <v/>
      </c>
      <c r="P15" s="18">
        <f>-(P14*'Assumptions'!B6+'Assumptions'!B7*P10)</f>
        <v/>
      </c>
      <c r="Q15" s="18">
        <f>-(Q14*'Assumptions'!B6+'Assumptions'!B7*Q10)</f>
        <v/>
      </c>
      <c r="R15" s="18">
        <f>-(R14*'Assumptions'!B6+'Assumptions'!B7*R10)</f>
        <v/>
      </c>
      <c r="S15" s="18">
        <f>-(S14*'Assumptions'!B6+'Assumptions'!B7*S10)</f>
        <v/>
      </c>
      <c r="T15" s="18">
        <f>-(T14*'Assumptions'!B6+'Assumptions'!B7*T10)</f>
        <v/>
      </c>
      <c r="U15" s="18">
        <f>-(U14*'Assumptions'!B6+'Assumptions'!B7*U10)</f>
        <v/>
      </c>
      <c r="V15" s="18">
        <f>-(V14*'Assumptions'!B6+'Assumptions'!B7*V10)</f>
        <v/>
      </c>
      <c r="W15" s="18">
        <f>-(W14*'Assumptions'!B6+'Assumptions'!B7*W10)</f>
        <v/>
      </c>
      <c r="X15" s="18">
        <f>-(X14*'Assumptions'!B6+'Assumptions'!B7*X10)</f>
        <v/>
      </c>
      <c r="Y15" s="18">
        <f>-(Y14*'Assumptions'!B6+'Assumptions'!B7*Y10)</f>
        <v/>
      </c>
    </row>
    <row r="16" ht="17" customHeight="1">
      <c r="A16" s="11" t="inlineStr">
        <is>
          <t xml:space="preserve">  Net revenue</t>
        </is>
      </c>
      <c r="B16" s="17">
        <f>B14+B15</f>
        <v/>
      </c>
      <c r="C16" s="17">
        <f>C14+C15</f>
        <v/>
      </c>
      <c r="D16" s="17">
        <f>D14+D15</f>
        <v/>
      </c>
      <c r="E16" s="17">
        <f>E14+E15</f>
        <v/>
      </c>
      <c r="F16" s="17">
        <f>F14+F15</f>
        <v/>
      </c>
      <c r="G16" s="17">
        <f>G14+G15</f>
        <v/>
      </c>
      <c r="H16" s="17">
        <f>H14+H15</f>
        <v/>
      </c>
      <c r="I16" s="17">
        <f>I14+I15</f>
        <v/>
      </c>
      <c r="J16" s="17">
        <f>J14+J15</f>
        <v/>
      </c>
      <c r="K16" s="17">
        <f>K14+K15</f>
        <v/>
      </c>
      <c r="L16" s="17">
        <f>L14+L15</f>
        <v/>
      </c>
      <c r="M16" s="17">
        <f>M14+M15</f>
        <v/>
      </c>
      <c r="N16" s="17">
        <f>N14+N15</f>
        <v/>
      </c>
      <c r="O16" s="17">
        <f>O14+O15</f>
        <v/>
      </c>
      <c r="P16" s="17">
        <f>P14+P15</f>
        <v/>
      </c>
      <c r="Q16" s="17">
        <f>Q14+Q15</f>
        <v/>
      </c>
      <c r="R16" s="17">
        <f>R14+R15</f>
        <v/>
      </c>
      <c r="S16" s="17">
        <f>S14+S15</f>
        <v/>
      </c>
      <c r="T16" s="17">
        <f>T14+T15</f>
        <v/>
      </c>
      <c r="U16" s="17">
        <f>U14+U15</f>
        <v/>
      </c>
      <c r="V16" s="17">
        <f>V14+V15</f>
        <v/>
      </c>
      <c r="W16" s="17">
        <f>W14+W15</f>
        <v/>
      </c>
      <c r="X16" s="17">
        <f>X14+X15</f>
        <v/>
      </c>
      <c r="Y16" s="17">
        <f>Y14+Y15</f>
        <v/>
      </c>
    </row>
    <row r="17" ht="20" customHeight="1">
      <c r="A17" s="3" t="inlineStr">
        <is>
          <t>COSTS</t>
        </is>
      </c>
    </row>
    <row r="18" ht="17" customHeight="1">
      <c r="A18" s="11" t="inlineStr">
        <is>
          <t xml:space="preserve">  Fixed monthly costs</t>
        </is>
      </c>
      <c r="B18" s="18">
        <f>-('Assumptions'!B18+'Assumptions'!B19+'Assumptions'!B20+'Assumptions'!B21+'Assumptions'!B22+'Assumptions'!B23+'Assumptions'!B24+'Assumptions'!B25+'Assumptions'!B26)</f>
        <v/>
      </c>
      <c r="C18" s="18">
        <f>-('Assumptions'!B18+'Assumptions'!B19+'Assumptions'!B20+'Assumptions'!B21+'Assumptions'!B22+'Assumptions'!B23+'Assumptions'!B24+'Assumptions'!B25+'Assumptions'!B26)</f>
        <v/>
      </c>
      <c r="D18" s="18">
        <f>-('Assumptions'!B18+'Assumptions'!B19+'Assumptions'!B20+'Assumptions'!B21+'Assumptions'!B22+'Assumptions'!B23+'Assumptions'!B24+'Assumptions'!B25+'Assumptions'!B26)</f>
        <v/>
      </c>
      <c r="E18" s="18">
        <f>-('Assumptions'!B18+'Assumptions'!B19+'Assumptions'!B20+'Assumptions'!B21+'Assumptions'!B22+'Assumptions'!B23+'Assumptions'!B24+'Assumptions'!B25+'Assumptions'!B26)</f>
        <v/>
      </c>
      <c r="F18" s="18">
        <f>-('Assumptions'!B18+'Assumptions'!B19+'Assumptions'!B20+'Assumptions'!B21+'Assumptions'!B22+'Assumptions'!B23+'Assumptions'!B24+'Assumptions'!B25+'Assumptions'!B26)</f>
        <v/>
      </c>
      <c r="G18" s="18">
        <f>-('Assumptions'!B18+'Assumptions'!B19+'Assumptions'!B20+'Assumptions'!B21+'Assumptions'!B22+'Assumptions'!B23+'Assumptions'!B24+'Assumptions'!B25+'Assumptions'!B26)</f>
        <v/>
      </c>
      <c r="H18" s="18">
        <f>-('Assumptions'!B18+'Assumptions'!B19+'Assumptions'!B20+'Assumptions'!B21+'Assumptions'!B22+'Assumptions'!B23+'Assumptions'!B24+'Assumptions'!B25+'Assumptions'!B26)</f>
        <v/>
      </c>
      <c r="I18" s="18">
        <f>-('Assumptions'!B18+'Assumptions'!B19+'Assumptions'!B20+'Assumptions'!B21+'Assumptions'!B22+'Assumptions'!B23+'Assumptions'!B24+'Assumptions'!B25+'Assumptions'!B26)</f>
        <v/>
      </c>
      <c r="J18" s="18">
        <f>-('Assumptions'!B18+'Assumptions'!B19+'Assumptions'!B20+'Assumptions'!B21+'Assumptions'!B22+'Assumptions'!B23+'Assumptions'!B24+'Assumptions'!B25+'Assumptions'!B26)</f>
        <v/>
      </c>
      <c r="K18" s="18">
        <f>-('Assumptions'!B18+'Assumptions'!B19+'Assumptions'!B20+'Assumptions'!B21+'Assumptions'!B22+'Assumptions'!B23+'Assumptions'!B24+'Assumptions'!B25+'Assumptions'!B26)</f>
        <v/>
      </c>
      <c r="L18" s="18">
        <f>-('Assumptions'!B18+'Assumptions'!B19+'Assumptions'!B20+'Assumptions'!B21+'Assumptions'!B22+'Assumptions'!B23+'Assumptions'!B24+'Assumptions'!B25+'Assumptions'!B26)</f>
        <v/>
      </c>
      <c r="M18" s="18">
        <f>-('Assumptions'!B18+'Assumptions'!B19+'Assumptions'!B20+'Assumptions'!B21+'Assumptions'!B22+'Assumptions'!B23+'Assumptions'!B24+'Assumptions'!B25+'Assumptions'!B26)</f>
        <v/>
      </c>
      <c r="N18" s="18">
        <f>-('Assumptions'!B18+'Assumptions'!B19+'Assumptions'!B20+'Assumptions'!B21+'Assumptions'!B22+'Assumptions'!B23+'Assumptions'!B24+'Assumptions'!B25+'Assumptions'!B26)</f>
        <v/>
      </c>
      <c r="O18" s="18">
        <f>-('Assumptions'!B18+'Assumptions'!B19+'Assumptions'!B20+'Assumptions'!B21+'Assumptions'!B22+'Assumptions'!B23+'Assumptions'!B24+'Assumptions'!B25+'Assumptions'!B26)</f>
        <v/>
      </c>
      <c r="P18" s="18">
        <f>-('Assumptions'!B18+'Assumptions'!B19+'Assumptions'!B20+'Assumptions'!B21+'Assumptions'!B22+'Assumptions'!B23+'Assumptions'!B24+'Assumptions'!B25+'Assumptions'!B26)</f>
        <v/>
      </c>
      <c r="Q18" s="18">
        <f>-('Assumptions'!B18+'Assumptions'!B19+'Assumptions'!B20+'Assumptions'!B21+'Assumptions'!B22+'Assumptions'!B23+'Assumptions'!B24+'Assumptions'!B25+'Assumptions'!B26)</f>
        <v/>
      </c>
      <c r="R18" s="18">
        <f>-('Assumptions'!B18+'Assumptions'!B19+'Assumptions'!B20+'Assumptions'!B21+'Assumptions'!B22+'Assumptions'!B23+'Assumptions'!B24+'Assumptions'!B25+'Assumptions'!B26)</f>
        <v/>
      </c>
      <c r="S18" s="18">
        <f>-('Assumptions'!B18+'Assumptions'!B19+'Assumptions'!B20+'Assumptions'!B21+'Assumptions'!B22+'Assumptions'!B23+'Assumptions'!B24+'Assumptions'!B25+'Assumptions'!B26)</f>
        <v/>
      </c>
      <c r="T18" s="18">
        <f>-('Assumptions'!B18+'Assumptions'!B19+'Assumptions'!B20+'Assumptions'!B21+'Assumptions'!B22+'Assumptions'!B23+'Assumptions'!B24+'Assumptions'!B25+'Assumptions'!B26)</f>
        <v/>
      </c>
      <c r="U18" s="18">
        <f>-('Assumptions'!B18+'Assumptions'!B19+'Assumptions'!B20+'Assumptions'!B21+'Assumptions'!B22+'Assumptions'!B23+'Assumptions'!B24+'Assumptions'!B25+'Assumptions'!B26)</f>
        <v/>
      </c>
      <c r="V18" s="18">
        <f>-('Assumptions'!B18+'Assumptions'!B19+'Assumptions'!B20+'Assumptions'!B21+'Assumptions'!B22+'Assumptions'!B23+'Assumptions'!B24+'Assumptions'!B25+'Assumptions'!B26)</f>
        <v/>
      </c>
      <c r="W18" s="18">
        <f>-('Assumptions'!B18+'Assumptions'!B19+'Assumptions'!B20+'Assumptions'!B21+'Assumptions'!B22+'Assumptions'!B23+'Assumptions'!B24+'Assumptions'!B25+'Assumptions'!B26)</f>
        <v/>
      </c>
      <c r="X18" s="18">
        <f>-('Assumptions'!B18+'Assumptions'!B19+'Assumptions'!B20+'Assumptions'!B21+'Assumptions'!B22+'Assumptions'!B23+'Assumptions'!B24+'Assumptions'!B25+'Assumptions'!B26)</f>
        <v/>
      </c>
      <c r="Y18" s="18">
        <f>-('Assumptions'!B18+'Assumptions'!B19+'Assumptions'!B20+'Assumptions'!B21+'Assumptions'!B22+'Assumptions'!B23+'Assumptions'!B24+'Assumptions'!B25+'Assumptions'!B26)</f>
        <v/>
      </c>
    </row>
    <row r="19" ht="20" customHeight="1">
      <c r="A19" s="3" t="inlineStr">
        <is>
          <t>PROFIT</t>
        </is>
      </c>
    </row>
    <row r="20" ht="17" customHeight="1">
      <c r="A20" s="11" t="inlineStr">
        <is>
          <t xml:space="preserve">  Net profit / loss</t>
        </is>
      </c>
      <c r="B20" s="19">
        <f>B16+B18</f>
        <v/>
      </c>
      <c r="C20" s="19">
        <f>C16+C18</f>
        <v/>
      </c>
      <c r="D20" s="19">
        <f>D16+D18</f>
        <v/>
      </c>
      <c r="E20" s="19">
        <f>E16+E18</f>
        <v/>
      </c>
      <c r="F20" s="19">
        <f>F16+F18</f>
        <v/>
      </c>
      <c r="G20" s="19">
        <f>G16+G18</f>
        <v/>
      </c>
      <c r="H20" s="19">
        <f>H16+H18</f>
        <v/>
      </c>
      <c r="I20" s="19">
        <f>I16+I18</f>
        <v/>
      </c>
      <c r="J20" s="19">
        <f>J16+J18</f>
        <v/>
      </c>
      <c r="K20" s="19">
        <f>K16+K18</f>
        <v/>
      </c>
      <c r="L20" s="19">
        <f>L16+L18</f>
        <v/>
      </c>
      <c r="M20" s="19">
        <f>M16+M18</f>
        <v/>
      </c>
      <c r="N20" s="20">
        <f>N16+N18</f>
        <v/>
      </c>
      <c r="O20" s="20">
        <f>O16+O18</f>
        <v/>
      </c>
      <c r="P20" s="20">
        <f>P16+P18</f>
        <v/>
      </c>
      <c r="Q20" s="20">
        <f>Q16+Q18</f>
        <v/>
      </c>
      <c r="R20" s="20">
        <f>R16+R18</f>
        <v/>
      </c>
      <c r="S20" s="20">
        <f>S16+S18</f>
        <v/>
      </c>
      <c r="T20" s="20">
        <f>T16+T18</f>
        <v/>
      </c>
      <c r="U20" s="20">
        <f>U16+U18</f>
        <v/>
      </c>
      <c r="V20" s="20">
        <f>V16+V18</f>
        <v/>
      </c>
      <c r="W20" s="20">
        <f>W16+W18</f>
        <v/>
      </c>
      <c r="X20" s="20">
        <f>X16+X18</f>
        <v/>
      </c>
      <c r="Y20" s="20">
        <f>Y16+Y18</f>
        <v/>
      </c>
    </row>
    <row r="21" ht="17" customHeight="1">
      <c r="A21" s="11" t="inlineStr">
        <is>
          <t xml:space="preserve">  Cumulative net profit</t>
        </is>
      </c>
      <c r="B21" s="17">
        <f>B20</f>
        <v/>
      </c>
      <c r="C21" s="17">
        <f>B21+C20</f>
        <v/>
      </c>
      <c r="D21" s="17">
        <f>C21+D20</f>
        <v/>
      </c>
      <c r="E21" s="17">
        <f>D21+E20</f>
        <v/>
      </c>
      <c r="F21" s="17">
        <f>E21+F20</f>
        <v/>
      </c>
      <c r="G21" s="17">
        <f>F21+G20</f>
        <v/>
      </c>
      <c r="H21" s="17">
        <f>G21+H20</f>
        <v/>
      </c>
      <c r="I21" s="17">
        <f>H21+I20</f>
        <v/>
      </c>
      <c r="J21" s="17">
        <f>I21+J20</f>
        <v/>
      </c>
      <c r="K21" s="17">
        <f>J21+K20</f>
        <v/>
      </c>
      <c r="L21" s="17">
        <f>K21+L20</f>
        <v/>
      </c>
      <c r="M21" s="17">
        <f>L21+M20</f>
        <v/>
      </c>
      <c r="N21" s="17">
        <f>M21+N20</f>
        <v/>
      </c>
      <c r="O21" s="17">
        <f>N21+O20</f>
        <v/>
      </c>
      <c r="P21" s="17">
        <f>O21+P20</f>
        <v/>
      </c>
      <c r="Q21" s="17">
        <f>P21+Q20</f>
        <v/>
      </c>
      <c r="R21" s="17">
        <f>Q21+R20</f>
        <v/>
      </c>
      <c r="S21" s="17">
        <f>R21+S20</f>
        <v/>
      </c>
      <c r="T21" s="17">
        <f>S21+T20</f>
        <v/>
      </c>
      <c r="U21" s="17">
        <f>T21+U20</f>
        <v/>
      </c>
      <c r="V21" s="17">
        <f>U21+V20</f>
        <v/>
      </c>
      <c r="W21" s="17">
        <f>V21+W20</f>
        <v/>
      </c>
      <c r="X21" s="17">
        <f>W21+X20</f>
        <v/>
      </c>
      <c r="Y21" s="17">
        <f>X21+Y20</f>
        <v/>
      </c>
    </row>
    <row r="22" ht="17" customHeight="1">
      <c r="A22" s="11" t="inlineStr">
        <is>
          <t>MRR (net)</t>
        </is>
      </c>
      <c r="B22" s="21">
        <f>B16</f>
        <v/>
      </c>
      <c r="C22" s="21">
        <f>C16</f>
        <v/>
      </c>
      <c r="D22" s="21">
        <f>D16</f>
        <v/>
      </c>
      <c r="E22" s="21">
        <f>E16</f>
        <v/>
      </c>
      <c r="F22" s="21">
        <f>F16</f>
        <v/>
      </c>
      <c r="G22" s="21">
        <f>G16</f>
        <v/>
      </c>
      <c r="H22" s="21">
        <f>H16</f>
        <v/>
      </c>
      <c r="I22" s="21">
        <f>I16</f>
        <v/>
      </c>
      <c r="J22" s="21">
        <f>J16</f>
        <v/>
      </c>
      <c r="K22" s="21">
        <f>K16</f>
        <v/>
      </c>
      <c r="L22" s="21">
        <f>L16</f>
        <v/>
      </c>
      <c r="M22" s="21">
        <f>M16</f>
        <v/>
      </c>
      <c r="N22" s="21">
        <f>N16</f>
        <v/>
      </c>
      <c r="O22" s="21">
        <f>O16</f>
        <v/>
      </c>
      <c r="P22" s="21">
        <f>P16</f>
        <v/>
      </c>
      <c r="Q22" s="21">
        <f>Q16</f>
        <v/>
      </c>
      <c r="R22" s="21">
        <f>R16</f>
        <v/>
      </c>
      <c r="S22" s="21">
        <f>S16</f>
        <v/>
      </c>
      <c r="T22" s="21">
        <f>T16</f>
        <v/>
      </c>
      <c r="U22" s="21">
        <f>U16</f>
        <v/>
      </c>
      <c r="V22" s="21">
        <f>V16</f>
        <v/>
      </c>
      <c r="W22" s="21">
        <f>W16</f>
        <v/>
      </c>
      <c r="X22" s="21">
        <f>X16</f>
        <v/>
      </c>
      <c r="Y22" s="21">
        <f>Y16</f>
        <v/>
      </c>
    </row>
    <row r="23" ht="17" customHeight="1">
      <c r="A23" s="11" t="inlineStr">
        <is>
          <t>ARR run-rate</t>
        </is>
      </c>
      <c r="B23" s="21">
        <f>B22*12</f>
        <v/>
      </c>
      <c r="C23" s="21">
        <f>C22*12</f>
        <v/>
      </c>
      <c r="D23" s="21">
        <f>D22*12</f>
        <v/>
      </c>
      <c r="E23" s="21">
        <f>E22*12</f>
        <v/>
      </c>
      <c r="F23" s="21">
        <f>F22*12</f>
        <v/>
      </c>
      <c r="G23" s="21">
        <f>G22*12</f>
        <v/>
      </c>
      <c r="H23" s="21">
        <f>H22*12</f>
        <v/>
      </c>
      <c r="I23" s="21">
        <f>I22*12</f>
        <v/>
      </c>
      <c r="J23" s="21">
        <f>J22*12</f>
        <v/>
      </c>
      <c r="K23" s="21">
        <f>K22*12</f>
        <v/>
      </c>
      <c r="L23" s="21">
        <f>L22*12</f>
        <v/>
      </c>
      <c r="M23" s="21">
        <f>M22*12</f>
        <v/>
      </c>
      <c r="N23" s="21">
        <f>N22*12</f>
        <v/>
      </c>
      <c r="O23" s="21">
        <f>O22*12</f>
        <v/>
      </c>
      <c r="P23" s="21">
        <f>P22*12</f>
        <v/>
      </c>
      <c r="Q23" s="21">
        <f>Q22*12</f>
        <v/>
      </c>
      <c r="R23" s="21">
        <f>R22*12</f>
        <v/>
      </c>
      <c r="S23" s="21">
        <f>S22*12</f>
        <v/>
      </c>
      <c r="T23" s="21">
        <f>T22*12</f>
        <v/>
      </c>
      <c r="U23" s="21">
        <f>U22*12</f>
        <v/>
      </c>
      <c r="V23" s="21">
        <f>V22*12</f>
        <v/>
      </c>
      <c r="W23" s="21">
        <f>W22*12</f>
        <v/>
      </c>
      <c r="X23" s="21">
        <f>X22*12</f>
        <v/>
      </c>
      <c r="Y23" s="21">
        <f>Y22*12</f>
        <v/>
      </c>
    </row>
  </sheetData>
  <mergeCells count="6">
    <mergeCell ref="A19:Y19"/>
    <mergeCell ref="A11:Y11"/>
    <mergeCell ref="A1:Y1"/>
    <mergeCell ref="A6:Y6"/>
    <mergeCell ref="A17:Y17"/>
    <mergeCell ref="A3:Y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</cols>
  <sheetData>
    <row r="1" ht="34" customHeight="1">
      <c r="A1" s="1" t="inlineStr">
        <is>
          <t>SOULGAINZ  ·  Scenario Analysis  (USD)</t>
        </is>
      </c>
    </row>
    <row r="2" ht="22" customHeight="1">
      <c r="A2" s="2" t="inlineStr">
        <is>
          <t>Metric</t>
        </is>
      </c>
      <c r="B2" s="22" t="inlineStr">
        <is>
          <t>🐻 BEAR</t>
        </is>
      </c>
      <c r="C2" s="23" t="inlineStr">
        <is>
          <t>📊 BASE</t>
        </is>
      </c>
      <c r="D2" s="24" t="inlineStr">
        <is>
          <t>🚀 BULL</t>
        </is>
      </c>
    </row>
    <row r="3" ht="20" customHeight="1">
      <c r="A3" s="3" t="inlineStr">
        <is>
          <t>ASSUMPTIONS</t>
        </is>
      </c>
    </row>
    <row r="4" ht="18" customHeight="1">
      <c r="A4" s="25" t="inlineStr">
        <is>
          <t>Month 1 signups</t>
        </is>
      </c>
      <c r="B4" s="26" t="n">
        <v>30</v>
      </c>
      <c r="C4" s="27" t="n">
        <v>80</v>
      </c>
      <c r="D4" s="28" t="n">
        <v>200</v>
      </c>
    </row>
    <row r="5" ht="18" customHeight="1">
      <c r="A5" s="25" t="inlineStr">
        <is>
          <t>Monthly signup growth (MoM)</t>
        </is>
      </c>
      <c r="B5" s="29" t="n">
        <v>0.05</v>
      </c>
      <c r="C5" s="30" t="n">
        <v>0.15</v>
      </c>
      <c r="D5" s="31" t="n">
        <v>0.3</v>
      </c>
    </row>
    <row r="6" ht="18" customHeight="1">
      <c r="A6" s="25" t="inlineStr">
        <is>
          <t>Free-to-paid conversion</t>
        </is>
      </c>
      <c r="B6" s="29" t="n">
        <v>0.02</v>
      </c>
      <c r="C6" s="30" t="n">
        <v>0.04</v>
      </c>
      <c r="D6" s="31" t="n">
        <v>0.06</v>
      </c>
    </row>
    <row r="7" ht="18" customHeight="1">
      <c r="A7" s="25" t="inlineStr">
        <is>
          <t>Monthly churn</t>
        </is>
      </c>
      <c r="B7" s="29" t="n">
        <v>0.1</v>
      </c>
      <c r="C7" s="30" t="n">
        <v>0.06</v>
      </c>
      <c r="D7" s="31" t="n">
        <v>0.04</v>
      </c>
    </row>
    <row r="8" ht="18" customHeight="1">
      <c r="A8" s="25" t="inlineStr">
        <is>
          <t>Monthly fixed costs (USD)</t>
        </is>
      </c>
      <c r="B8" s="32" t="n">
        <v>57.45</v>
      </c>
      <c r="C8" s="33" t="n">
        <v>57.45</v>
      </c>
      <c r="D8" s="34" t="n">
        <v>57.45</v>
      </c>
    </row>
    <row r="9" ht="20" customHeight="1">
      <c r="A9" s="3" t="inlineStr">
        <is>
          <t>AT 6 MONTHS</t>
        </is>
      </c>
    </row>
    <row r="10" ht="18" customHeight="1">
      <c r="A10" s="25" t="inlineStr">
        <is>
          <t>Total paying users</t>
        </is>
      </c>
      <c r="B10" s="26" t="n">
        <v>8</v>
      </c>
      <c r="C10" s="27" t="n">
        <v>42</v>
      </c>
      <c r="D10" s="28" t="n">
        <v>130</v>
      </c>
    </row>
    <row r="11" ht="18" customHeight="1">
      <c r="A11" s="25" t="inlineStr">
        <is>
          <t>MRR net (USD)</t>
        </is>
      </c>
      <c r="B11" s="35" t="n">
        <v>60</v>
      </c>
      <c r="C11" s="36" t="n">
        <v>480</v>
      </c>
      <c r="D11" s="37" t="n">
        <v>1480</v>
      </c>
    </row>
    <row r="12" ht="18" customHeight="1">
      <c r="A12" s="25" t="inlineStr">
        <is>
          <t>ARR run-rate (USD)</t>
        </is>
      </c>
      <c r="B12" s="35" t="n">
        <v>720</v>
      </c>
      <c r="C12" s="36" t="n">
        <v>5760</v>
      </c>
      <c r="D12" s="37" t="n">
        <v>17760</v>
      </c>
    </row>
    <row r="13" ht="18" customHeight="1">
      <c r="A13" s="25" t="inlineStr">
        <is>
          <t>Net profit/loss (USD)</t>
        </is>
      </c>
      <c r="B13" s="38" t="n">
        <v>-520</v>
      </c>
      <c r="C13" s="39" t="n">
        <v>-90</v>
      </c>
      <c r="D13" s="37" t="n">
        <v>1422</v>
      </c>
    </row>
    <row r="14" ht="20" customHeight="1">
      <c r="A14" s="3" t="inlineStr">
        <is>
          <t>AT 12 MONTHS</t>
        </is>
      </c>
    </row>
    <row r="15" ht="18" customHeight="1">
      <c r="A15" s="25" t="inlineStr">
        <is>
          <t>Total paying users</t>
        </is>
      </c>
      <c r="B15" s="26" t="n">
        <v>18</v>
      </c>
      <c r="C15" s="27" t="n">
        <v>105</v>
      </c>
      <c r="D15" s="28" t="n">
        <v>380</v>
      </c>
    </row>
    <row r="16" ht="18" customHeight="1">
      <c r="A16" s="25" t="inlineStr">
        <is>
          <t>MRR net (USD)</t>
        </is>
      </c>
      <c r="B16" s="35" t="n">
        <v>140</v>
      </c>
      <c r="C16" s="36" t="n">
        <v>1240</v>
      </c>
      <c r="D16" s="37" t="n">
        <v>4460</v>
      </c>
    </row>
    <row r="17" ht="18" customHeight="1">
      <c r="A17" s="25" t="inlineStr">
        <is>
          <t>ARR run-rate (USD)</t>
        </is>
      </c>
      <c r="B17" s="35" t="n">
        <v>1680</v>
      </c>
      <c r="C17" s="36" t="n">
        <v>14880</v>
      </c>
      <c r="D17" s="37" t="n">
        <v>53520</v>
      </c>
    </row>
    <row r="18" ht="18" customHeight="1">
      <c r="A18" s="25" t="inlineStr">
        <is>
          <t>Net profit/loss (USD)</t>
        </is>
      </c>
      <c r="B18" s="38" t="n">
        <v>-460</v>
      </c>
      <c r="C18" s="36" t="n">
        <v>1183</v>
      </c>
      <c r="D18" s="37" t="n">
        <v>4403</v>
      </c>
    </row>
    <row r="19" ht="18" customHeight="1">
      <c r="A19" s="25" t="inlineStr">
        <is>
          <t>Cumulative profit/loss (USD)</t>
        </is>
      </c>
      <c r="B19" s="38" t="n">
        <v>-4890</v>
      </c>
      <c r="C19" s="36" t="n">
        <v>2140</v>
      </c>
      <c r="D19" s="37" t="n">
        <v>29800</v>
      </c>
    </row>
    <row r="20" ht="20" customHeight="1">
      <c r="A20" s="3" t="inlineStr">
        <is>
          <t>AT 24 MONTHS</t>
        </is>
      </c>
    </row>
    <row r="21" ht="18" customHeight="1">
      <c r="A21" s="25" t="inlineStr">
        <is>
          <t>Total paying users</t>
        </is>
      </c>
      <c r="B21" s="26" t="n">
        <v>30</v>
      </c>
      <c r="C21" s="27" t="n">
        <v>280</v>
      </c>
      <c r="D21" s="28" t="n">
        <v>1100</v>
      </c>
    </row>
    <row r="22" ht="18" customHeight="1">
      <c r="A22" s="25" t="inlineStr">
        <is>
          <t>MRR net (USD)</t>
        </is>
      </c>
      <c r="B22" s="35" t="n">
        <v>240</v>
      </c>
      <c r="C22" s="36" t="n">
        <v>3290</v>
      </c>
      <c r="D22" s="37" t="n">
        <v>13020</v>
      </c>
    </row>
    <row r="23" ht="18" customHeight="1">
      <c r="A23" s="25" t="inlineStr">
        <is>
          <t>ARR run-rate (USD)</t>
        </is>
      </c>
      <c r="B23" s="35" t="n">
        <v>2880</v>
      </c>
      <c r="C23" s="36" t="n">
        <v>39480</v>
      </c>
      <c r="D23" s="37" t="n">
        <v>156240</v>
      </c>
    </row>
    <row r="24" ht="18" customHeight="1">
      <c r="A24" s="25" t="inlineStr">
        <is>
          <t>Net profit/loss (USD)</t>
        </is>
      </c>
      <c r="B24" s="38" t="n">
        <v>-290</v>
      </c>
      <c r="C24" s="36" t="n">
        <v>3233</v>
      </c>
      <c r="D24" s="37" t="n">
        <v>12963</v>
      </c>
    </row>
    <row r="25" ht="18" customHeight="1">
      <c r="A25" s="25" t="inlineStr">
        <is>
          <t>Cumulative profit/loss (USD)</t>
        </is>
      </c>
      <c r="B25" s="38" t="n">
        <v>-7200</v>
      </c>
      <c r="C25" s="36" t="n">
        <v>19800</v>
      </c>
      <c r="D25" s="37" t="n">
        <v>142000</v>
      </c>
    </row>
    <row r="26" ht="18" customHeight="1">
      <c r="A26" s="25" t="inlineStr">
        <is>
          <t>Break-even month</t>
        </is>
      </c>
      <c r="B26" s="40" t="inlineStr">
        <is>
          <t>Never</t>
        </is>
      </c>
      <c r="C26" s="41" t="inlineStr">
        <is>
          <t>M11</t>
        </is>
      </c>
      <c r="D26" s="42" t="inlineStr">
        <is>
          <t>M7</t>
        </is>
      </c>
    </row>
    <row r="27" ht="20" customHeight="1">
      <c r="A27" s="3" t="inlineStr">
        <is>
          <t>UNIT ECONOMICS</t>
        </is>
      </c>
    </row>
    <row r="28" ht="18" customHeight="1">
      <c r="A28" s="25" t="inlineStr">
        <is>
          <t>Blended ARPU/mo (USD)</t>
        </is>
      </c>
      <c r="B28" s="32" t="n">
        <v>10.8</v>
      </c>
      <c r="C28" s="33" t="n">
        <v>11.8</v>
      </c>
      <c r="D28" s="34" t="n">
        <v>12.3</v>
      </c>
    </row>
    <row r="29" ht="18" customHeight="1">
      <c r="A29" s="25" t="inlineStr">
        <is>
          <t>Est. blended LTV (USD)</t>
        </is>
      </c>
      <c r="B29" s="35" t="n">
        <v>108</v>
      </c>
      <c r="C29" s="36" t="n">
        <v>197</v>
      </c>
      <c r="D29" s="37" t="n">
        <v>308</v>
      </c>
    </row>
    <row r="30" ht="18" customHeight="1">
      <c r="A30" s="25" t="inlineStr">
        <is>
          <t>CAC (USD, est. $0 organic)</t>
        </is>
      </c>
      <c r="B30" s="35" t="n">
        <v>0</v>
      </c>
      <c r="C30" s="36" t="n">
        <v>0</v>
      </c>
      <c r="D30" s="37" t="n">
        <v>5</v>
      </c>
    </row>
    <row r="31" ht="18" customHeight="1">
      <c r="A31" s="25" t="inlineStr">
        <is>
          <t>Gross margin</t>
        </is>
      </c>
      <c r="B31" s="29" t="n">
        <v>0.92</v>
      </c>
      <c r="C31" s="30" t="n">
        <v>0.93</v>
      </c>
      <c r="D31" s="31" t="n">
        <v>0.9399999999999999</v>
      </c>
    </row>
  </sheetData>
  <mergeCells count="6">
    <mergeCell ref="A1:D1"/>
    <mergeCell ref="A9:D9"/>
    <mergeCell ref="A27:D27"/>
    <mergeCell ref="A20:D20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 ht="34" customHeight="1">
      <c r="A1" s="1" t="inlineStr">
        <is>
          <t>SOULGAINZ  ·  P&amp;L Summary  (USD, BASE CASE)</t>
        </is>
      </c>
    </row>
    <row r="2" ht="22" customHeight="1">
      <c r="A2" s="2" t="inlineStr">
        <is>
          <t>Line Item</t>
        </is>
      </c>
      <c r="B2" s="2" t="inlineStr">
        <is>
          <t>Year 1</t>
        </is>
      </c>
      <c r="C2" s="2" t="inlineStr">
        <is>
          <t>Year 2 (proj)</t>
        </is>
      </c>
      <c r="D2" s="2" t="inlineStr">
        <is>
          <t>Year 3 (proj)</t>
        </is>
      </c>
    </row>
    <row r="3" ht="20" customHeight="1">
      <c r="A3" s="3" t="inlineStr">
        <is>
          <t>REVENUE</t>
        </is>
      </c>
    </row>
    <row r="4" ht="18" customHeight="1">
      <c r="A4" s="4" t="inlineStr">
        <is>
          <t>Gross subscription revenue</t>
        </is>
      </c>
      <c r="B4" s="43" t="n">
        <v>7480</v>
      </c>
      <c r="C4" s="43" t="n">
        <v>37800</v>
      </c>
      <c r="D4" s="43" t="n">
        <v>95040</v>
      </c>
    </row>
    <row r="5" ht="18" customHeight="1">
      <c r="A5" s="4" t="inlineStr">
        <is>
          <t>Stripe processing fees</t>
        </is>
      </c>
      <c r="B5" s="44" t="n">
        <v>-217</v>
      </c>
      <c r="C5" s="44" t="n">
        <v>-1096</v>
      </c>
      <c r="D5" s="44" t="n">
        <v>-2756</v>
      </c>
    </row>
    <row r="6" ht="18" customHeight="1">
      <c r="A6" s="45" t="inlineStr">
        <is>
          <t>Net revenue</t>
        </is>
      </c>
      <c r="B6" s="46" t="n">
        <v>7263</v>
      </c>
      <c r="C6" s="46" t="n">
        <v>36704</v>
      </c>
      <c r="D6" s="46" t="n">
        <v>92284</v>
      </c>
    </row>
    <row r="7" ht="18" customHeight="1">
      <c r="A7" s="4" t="inlineStr">
        <is>
          <t>Gross margin</t>
        </is>
      </c>
      <c r="B7" s="47" t="n">
        <v>0.971</v>
      </c>
      <c r="C7" s="47" t="n">
        <v>0.971</v>
      </c>
      <c r="D7" s="47" t="n">
        <v>0.971</v>
      </c>
    </row>
    <row r="8" ht="20" customHeight="1">
      <c r="A8" s="3" t="inlineStr">
        <is>
          <t>COSTS (USD/YR)</t>
        </is>
      </c>
    </row>
    <row r="9" ht="18" customHeight="1">
      <c r="A9" s="4" t="inlineStr">
        <is>
          <t>Claude Pro subscription</t>
        </is>
      </c>
      <c r="B9" s="44" t="n">
        <v>-230</v>
      </c>
      <c r="C9" s="44" t="n">
        <v>-230</v>
      </c>
      <c r="D9" s="44" t="n">
        <v>-230</v>
      </c>
    </row>
    <row r="10" ht="18" customHeight="1">
      <c r="A10" s="4" t="inlineStr">
        <is>
          <t>Netlify Pro</t>
        </is>
      </c>
      <c r="B10" s="44" t="n">
        <v>-228</v>
      </c>
      <c r="C10" s="44" t="n">
        <v>-228</v>
      </c>
      <c r="D10" s="44" t="n">
        <v>-228</v>
      </c>
    </row>
    <row r="11" ht="18" customHeight="1">
      <c r="A11" s="4" t="inlineStr">
        <is>
          <t>Apple Developer Program</t>
        </is>
      </c>
      <c r="B11" s="44" t="n">
        <v>-99</v>
      </c>
      <c r="C11" s="44" t="n">
        <v>-99</v>
      </c>
      <c r="D11" s="44" t="n">
        <v>-99</v>
      </c>
    </row>
    <row r="12" ht="18" customHeight="1">
      <c r="A12" s="4" t="inlineStr">
        <is>
          <t>Google Domains</t>
        </is>
      </c>
      <c r="B12" s="44" t="n">
        <v>-12</v>
      </c>
      <c r="C12" s="44" t="n">
        <v>-12</v>
      </c>
      <c r="D12" s="44" t="n">
        <v>-12</v>
      </c>
    </row>
    <row r="13" ht="18" customHeight="1">
      <c r="A13" s="4" t="inlineStr">
        <is>
          <t>Misc / buffer</t>
        </is>
      </c>
      <c r="B13" s="44" t="n">
        <v>-120</v>
      </c>
      <c r="C13" s="44" t="n">
        <v>-120</v>
      </c>
      <c r="D13" s="44" t="n">
        <v>-120</v>
      </c>
    </row>
    <row r="14" ht="18" customHeight="1">
      <c r="A14" s="45" t="inlineStr">
        <is>
          <t>Total fixed costs</t>
        </is>
      </c>
      <c r="B14" s="48" t="n">
        <v>-689</v>
      </c>
      <c r="C14" s="48" t="n">
        <v>-689</v>
      </c>
      <c r="D14" s="48" t="n">
        <v>-689</v>
      </c>
    </row>
    <row r="15" ht="20" customHeight="1">
      <c r="A15" s="3" t="inlineStr">
        <is>
          <t>PROFITABILITY</t>
        </is>
      </c>
    </row>
    <row r="16" ht="18" customHeight="1">
      <c r="A16" s="45" t="inlineStr">
        <is>
          <t>EBITDA</t>
        </is>
      </c>
      <c r="B16" s="46" t="n">
        <v>6574</v>
      </c>
      <c r="C16" s="46" t="n">
        <v>36015</v>
      </c>
      <c r="D16" s="46" t="n">
        <v>91595</v>
      </c>
    </row>
    <row r="17" ht="18" customHeight="1">
      <c r="A17" s="4" t="inlineStr">
        <is>
          <t>EBITDA margin</t>
        </is>
      </c>
      <c r="B17" s="47" t="n">
        <v>0.905</v>
      </c>
      <c r="C17" s="47" t="n">
        <v>0.982</v>
      </c>
      <c r="D17" s="47" t="n">
        <v>0.993</v>
      </c>
    </row>
    <row r="18" ht="18" customHeight="1">
      <c r="A18" s="4" t="inlineStr">
        <is>
          <t>Estimated tax @ 25%</t>
        </is>
      </c>
      <c r="B18" s="44" t="n">
        <v>-1644</v>
      </c>
      <c r="C18" s="44" t="n">
        <v>-9004</v>
      </c>
      <c r="D18" s="44" t="n">
        <v>-22899</v>
      </c>
    </row>
    <row r="19" ht="18" customHeight="1">
      <c r="A19" s="45" t="inlineStr">
        <is>
          <t>Net profit (after est. tax)</t>
        </is>
      </c>
      <c r="B19" s="46" t="n">
        <v>4931</v>
      </c>
      <c r="C19" s="46" t="n">
        <v>27011</v>
      </c>
      <c r="D19" s="46" t="n">
        <v>68696</v>
      </c>
    </row>
    <row r="20" ht="18" customHeight="1">
      <c r="A20" s="4" t="inlineStr">
        <is>
          <t>Net margin</t>
        </is>
      </c>
      <c r="B20" s="47" t="n">
        <v>0.679</v>
      </c>
      <c r="C20" s="47" t="n">
        <v>0.736</v>
      </c>
      <c r="D20" s="47" t="n">
        <v>0.745</v>
      </c>
    </row>
    <row r="21" ht="20" customHeight="1">
      <c r="A21" s="3" t="inlineStr">
        <is>
          <t>RETURN ON INVESTMENT</t>
        </is>
      </c>
    </row>
    <row r="22" ht="18" customHeight="1">
      <c r="A22" s="4" t="inlineStr">
        <is>
          <t>Cash out-of-pocket to date</t>
        </is>
      </c>
      <c r="B22" s="43" t="n">
        <v>136</v>
      </c>
      <c r="C22" s="43" t="n">
        <v>0</v>
      </c>
      <c r="D22" s="43" t="n">
        <v>0</v>
      </c>
    </row>
    <row r="23" ht="18" customHeight="1">
      <c r="A23" s="4" t="inlineStr">
        <is>
          <t>Sweat equity (est., not cash)</t>
        </is>
      </c>
      <c r="B23" s="43" t="n">
        <v>32000</v>
      </c>
      <c r="C23" s="43" t="n">
        <v>0</v>
      </c>
      <c r="D23" s="43" t="n">
        <v>0</v>
      </c>
    </row>
    <row r="24" ht="18" customHeight="1">
      <c r="A24" s="45" t="inlineStr">
        <is>
          <t>ROI on cash (Y1 net / $136)</t>
        </is>
      </c>
      <c r="B24" s="49" t="n">
        <v>36.2</v>
      </c>
      <c r="C24" s="50" t="n">
        <v>0</v>
      </c>
      <c r="D24" s="50" t="n">
        <v>0</v>
      </c>
    </row>
    <row r="25" ht="18" customHeight="1">
      <c r="A25" s="45" t="inlineStr">
        <is>
          <t>Paying users — year-end (est.)</t>
        </is>
      </c>
      <c r="B25" s="51" t="n">
        <v>105</v>
      </c>
      <c r="C25" s="51" t="n">
        <v>280</v>
      </c>
      <c r="D25" s="51" t="n">
        <v>650</v>
      </c>
    </row>
    <row r="26" ht="18" customHeight="1">
      <c r="A26" s="45" t="inlineStr">
        <is>
          <t>ARR at year-end (est., USD)</t>
        </is>
      </c>
      <c r="B26" s="46" t="n">
        <v>14880</v>
      </c>
      <c r="C26" s="46" t="n">
        <v>39480</v>
      </c>
      <c r="D26" s="46" t="n">
        <v>95040</v>
      </c>
    </row>
  </sheetData>
  <mergeCells count="5">
    <mergeCell ref="A1:D1"/>
    <mergeCell ref="A8:D8"/>
    <mergeCell ref="A3:D3"/>
    <mergeCell ref="A21:D21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6" customWidth="1" min="3" max="3"/>
  </cols>
  <sheetData>
    <row r="1" ht="34" customHeight="1">
      <c r="A1" s="1" t="inlineStr">
        <is>
          <t>SOULGAINZ  ·  Pending Tasks + Next Steps</t>
        </is>
      </c>
    </row>
    <row r="2">
      <c r="A2" s="2" t="inlineStr">
        <is>
          <t>Task</t>
        </is>
      </c>
      <c r="B2" s="2" t="inlineStr">
        <is>
          <t>Status</t>
        </is>
      </c>
      <c r="C2" s="2" t="inlineStr">
        <is>
          <t>Notes</t>
        </is>
      </c>
    </row>
    <row r="3" ht="20" customHeight="1">
      <c r="A3" s="3" t="inlineStr">
        <is>
          <t>GOOGLE PLAY</t>
        </is>
      </c>
    </row>
    <row r="4" ht="22" customHeight="1">
      <c r="A4" s="52" t="inlineStr">
        <is>
          <t>Android device verification</t>
        </is>
      </c>
      <c r="B4" s="53" t="inlineStr">
        <is>
          <t>⏳ WAITING</t>
        </is>
      </c>
      <c r="C4" s="54" t="inlineStr">
        <is>
          <t>Borrow any Android phone · sign into Play Console app</t>
        </is>
      </c>
    </row>
    <row r="5" ht="22" customHeight="1">
      <c r="A5" s="52" t="inlineStr">
        <is>
          <t>Google identity verification</t>
        </is>
      </c>
      <c r="B5" s="53" t="inlineStr">
        <is>
          <t>⏳ IN PROGRESS</t>
        </is>
      </c>
      <c r="C5" s="54" t="inlineStr">
        <is>
          <t>Google verifying docs · email in 1-3 days</t>
        </is>
      </c>
    </row>
    <row r="6" ht="22" customHeight="1">
      <c r="A6" s="55" t="inlineStr">
        <is>
          <t>Create app in Play Console</t>
        </is>
      </c>
      <c r="B6" s="56" t="inlineStr">
        <is>
          <t>🔒 BLOCKED</t>
        </is>
      </c>
      <c r="C6" s="57" t="inlineStr">
        <is>
          <t>Unblocks once identity + device verified</t>
        </is>
      </c>
    </row>
    <row r="7" ht="22" customHeight="1">
      <c r="A7" s="58" t="inlineStr">
        <is>
          <t>Upload app-release.aab</t>
        </is>
      </c>
      <c r="B7" s="59" t="inlineStr">
        <is>
          <t>✅ READY</t>
        </is>
      </c>
      <c r="C7" s="60" t="inlineStr">
        <is>
          <t>_mobile/android/app/build/outputs/bundle/release/</t>
        </is>
      </c>
    </row>
    <row r="8" ht="22" customHeight="1">
      <c r="A8" s="55" t="inlineStr">
        <is>
          <t>Closed testing — 12+ testers, 14 days</t>
        </is>
      </c>
      <c r="B8" s="56" t="inlineStr">
        <is>
          <t>🔒 BLOCKED</t>
        </is>
      </c>
      <c r="C8" s="57" t="inlineStr">
        <is>
          <t>Need 12 Android users · friends/family</t>
        </is>
      </c>
    </row>
    <row r="9" ht="22" customHeight="1">
      <c r="A9" s="58" t="inlineStr">
        <is>
          <t>Fill store listing</t>
        </is>
      </c>
      <c r="B9" s="59" t="inlineStr">
        <is>
          <t>📋 COPY READY</t>
        </is>
      </c>
      <c r="C9" s="60" t="inlineStr">
        <is>
          <t>STORE_LISTING_COPY.md · assets in _mobile/assets/</t>
        </is>
      </c>
    </row>
    <row r="10" ht="22" customHeight="1">
      <c r="A10" s="55" t="inlineStr">
        <is>
          <t>Submit to Production</t>
        </is>
      </c>
      <c r="B10" s="56" t="inlineStr">
        <is>
          <t>🔒 BLOCKED</t>
        </is>
      </c>
      <c r="C10" s="57" t="inlineStr">
        <is>
          <t>After 14-day closed test passes</t>
        </is>
      </c>
    </row>
    <row r="11" ht="20" customHeight="1">
      <c r="A11" s="3" t="inlineStr">
        <is>
          <t>APPLE APP STORE</t>
        </is>
      </c>
    </row>
    <row r="12" ht="22" customHeight="1">
      <c r="A12" s="52" t="inlineStr">
        <is>
          <t>Apple Developer enrollment</t>
        </is>
      </c>
      <c r="B12" s="53" t="inlineStr">
        <is>
          <t>⏳ WAITING</t>
        </is>
      </c>
      <c r="C12" s="54" t="inlineStr">
        <is>
          <t>Call +1 800-275-2273 if online enrollment fails</t>
        </is>
      </c>
    </row>
    <row r="13" ht="22" customHeight="1">
      <c r="A13" s="55" t="inlineStr">
        <is>
          <t>iOS build + Xcode archive</t>
        </is>
      </c>
      <c r="B13" s="56" t="inlineStr">
        <is>
          <t>🔒 BLOCKED</t>
        </is>
      </c>
      <c r="C13" s="57" t="inlineStr">
        <is>
          <t>Needs enrollment approved first</t>
        </is>
      </c>
    </row>
    <row r="14" ht="22" customHeight="1">
      <c r="A14" s="55" t="inlineStr">
        <is>
          <t>Upload to App Store Connect</t>
        </is>
      </c>
      <c r="B14" s="56" t="inlineStr">
        <is>
          <t>🔒 BLOCKED</t>
        </is>
      </c>
      <c r="C14" s="57" t="inlineStr">
        <is>
          <t>After Xcode archive</t>
        </is>
      </c>
    </row>
    <row r="15" ht="22" customHeight="1">
      <c r="A15" s="55" t="inlineStr">
        <is>
          <t>TestFlight beta + App Store review</t>
        </is>
      </c>
      <c r="B15" s="56" t="inlineStr">
        <is>
          <t>🔒 BLOCKED</t>
        </is>
      </c>
      <c r="C15" s="57" t="inlineStr">
        <is>
          <t>Apple reviews take 1-7 days</t>
        </is>
      </c>
    </row>
    <row r="16" ht="20" customHeight="1">
      <c r="A16" s="3" t="inlineStr">
        <is>
          <t>DOMAIN + SECURITY — DO THESE NOW</t>
        </is>
      </c>
    </row>
    <row r="17" ht="22" customHeight="1">
      <c r="A17" s="61" t="inlineStr">
        <is>
          <t>Enable domain lock (Squarespace)</t>
        </is>
      </c>
      <c r="B17" s="62" t="inlineStr">
        <is>
          <t>⚠️ DO NOW</t>
        </is>
      </c>
      <c r="C17" s="63" t="inlineStr">
        <is>
          <t>domains.squarespace.com → soulgainz.app → Security → Domain lock</t>
        </is>
      </c>
    </row>
    <row r="18" ht="22" customHeight="1">
      <c r="A18" s="61" t="inlineStr">
        <is>
          <t>Verify WHOIS privacy is ON</t>
        </is>
      </c>
      <c r="B18" s="62" t="inlineStr">
        <is>
          <t>⚠️ DO NOW</t>
        </is>
      </c>
      <c r="C18" s="63" t="inlineStr">
        <is>
          <t>domains.squarespace.com → Privacy → ON</t>
        </is>
      </c>
    </row>
    <row r="19" ht="22" customHeight="1">
      <c r="A19" s="52" t="inlineStr">
        <is>
          <t>Enable DNSSEC</t>
        </is>
      </c>
      <c r="B19" s="53" t="inlineStr">
        <is>
          <t>⚠️ SOON</t>
        </is>
      </c>
      <c r="C19" s="54" t="inlineStr">
        <is>
          <t>Squarespace Domains → Security → DNSSEC</t>
        </is>
      </c>
    </row>
    <row r="20" ht="22" customHeight="1">
      <c r="A20" s="61" t="inlineStr">
        <is>
          <t>Enable 2FA on Squarespace + Netlify</t>
        </is>
      </c>
      <c r="B20" s="62" t="inlineStr">
        <is>
          <t>⚠️ DO NOW</t>
        </is>
      </c>
      <c r="C20" s="63" t="inlineStr">
        <is>
          <t>Use Authenticator app</t>
        </is>
      </c>
    </row>
    <row r="21" ht="22" customHeight="1">
      <c r="A21" s="52" t="inlineStr">
        <is>
          <t>Set up DKIM on Resend</t>
        </is>
      </c>
      <c r="B21" s="53" t="inlineStr">
        <is>
          <t>🟡 SOON</t>
        </is>
      </c>
      <c r="C21" s="54" t="inlineStr">
        <is>
          <t>resend.com → Domains → verify soulgainz.app</t>
        </is>
      </c>
    </row>
    <row r="22" ht="22" customHeight="1">
      <c r="A22" s="52" t="inlineStr">
        <is>
          <t>Add DMARC DNS record</t>
        </is>
      </c>
      <c r="B22" s="53" t="inlineStr">
        <is>
          <t>🟡 SOON</t>
        </is>
      </c>
      <c r="C22" s="54" t="inlineStr">
        <is>
          <t>TXT _dmarc → v=DMARC1; p=quarantine; rua=mailto:support@soulgainz.com</t>
        </is>
      </c>
    </row>
    <row r="23" ht="22" customHeight="1">
      <c r="A23" s="52" t="inlineStr">
        <is>
          <t>Register soulgainz.com + .co variants</t>
        </is>
      </c>
      <c r="B23" s="53" t="inlineStr">
        <is>
          <t>🟡 SOON</t>
        </is>
      </c>
      <c r="C23" s="54" t="inlineStr">
        <is>
          <t>Prevent brand squatting · redirect to soulgainz.app</t>
        </is>
      </c>
    </row>
    <row r="24" ht="22" customHeight="1">
      <c r="A24" s="64" t="inlineStr">
        <is>
          <t>File trademark — IP Australia (Class 41+42)</t>
        </is>
      </c>
      <c r="B24" s="65" t="inlineStr">
        <is>
          <t>🟡 THIS QUARTER</t>
        </is>
      </c>
      <c r="C24" s="66" t="inlineStr">
        <is>
          <t>ipaustralia.gov.au · ~AUD $500 · self-file</t>
        </is>
      </c>
    </row>
    <row r="25" ht="20" customHeight="1">
      <c r="A25" s="3" t="inlineStr">
        <is>
          <t>T&amp;C + LIABILITY — STATUS</t>
        </is>
      </c>
    </row>
    <row r="26" ht="22" customHeight="1">
      <c r="A26" s="58" t="inlineStr">
        <is>
          <t>T&amp;C checkbox on signup</t>
        </is>
      </c>
      <c r="B26" s="59" t="inlineStr">
        <is>
          <t>✅ DONE</t>
        </is>
      </c>
      <c r="C26" s="60" t="inlineStr">
        <is>
          <t>Required before account creation</t>
        </is>
      </c>
    </row>
    <row r="27" ht="22" customHeight="1">
      <c r="A27" s="58" t="inlineStr">
        <is>
          <t>terms_accepted_at timestamp stored</t>
        </is>
      </c>
      <c r="B27" s="59" t="inlineStr">
        <is>
          <t>✅ DONE</t>
        </is>
      </c>
      <c r="C27" s="60" t="inlineStr">
        <is>
          <t>Saved to Supabase user metadata on signup (Aug 2026)</t>
        </is>
      </c>
    </row>
    <row r="28" ht="22" customHeight="1">
      <c r="A28" s="58" t="inlineStr">
        <is>
          <t>Health disclaimer + liability cap in terms</t>
        </is>
      </c>
      <c r="B28" s="59" t="inlineStr">
        <is>
          <t>✅ DONE</t>
        </is>
      </c>
      <c r="C28" s="60" t="inlineStr">
        <is>
          <t>Added August 2026 — liability capped to 12-mo payments</t>
        </is>
      </c>
    </row>
    <row r="29" ht="22" customHeight="1">
      <c r="A29" s="61" t="inlineStr">
        <is>
          <t>Add terms_accepted_at column to profiles table</t>
        </is>
      </c>
      <c r="B29" s="62" t="inlineStr">
        <is>
          <t>⚠️ DO NOW</t>
        </is>
      </c>
      <c r="C29" s="63" t="inlineStr">
        <is>
          <t>Run SQL: ALTER TABLE profiles ADD COLUMN terms_accepted_at TIMESTAMPTZ</t>
        </is>
      </c>
    </row>
    <row r="30" ht="22" customHeight="1">
      <c r="A30" s="52" t="inlineStr">
        <is>
          <t>Create standalone soulgainz.app/terms page</t>
        </is>
      </c>
      <c r="B30" s="53" t="inlineStr">
        <is>
          <t>🟡 SOON</t>
        </is>
      </c>
      <c r="C30" s="54" t="inlineStr">
        <is>
          <t>Makes T&amp;C legally defensible in court</t>
        </is>
      </c>
    </row>
    <row r="31" ht="22" customHeight="1">
      <c r="A31" s="64" t="inlineStr">
        <is>
          <t>Register ABN or Pty Ltd</t>
        </is>
      </c>
      <c r="B31" s="65" t="inlineStr">
        <is>
          <t>🟡 THIS QUARTER</t>
        </is>
      </c>
      <c r="C31" s="66" t="inlineStr">
        <is>
          <t>Pty Ltd recommended for liability protection · ~AUD $500</t>
        </is>
      </c>
    </row>
    <row r="32" ht="20" customHeight="1">
      <c r="A32" s="3" t="inlineStr">
        <is>
          <t>MARKETING + GROWTH</t>
        </is>
      </c>
    </row>
    <row r="33" ht="22" customHeight="1">
      <c r="A33" s="61" t="inlineStr">
        <is>
          <t>Back up keystore to iCloud</t>
        </is>
      </c>
      <c r="B33" s="62" t="inlineStr">
        <is>
          <t>⚠️ URGENT</t>
        </is>
      </c>
      <c r="C33" s="63" t="inlineStr">
        <is>
          <t>Run: cp _mobile/soulgainz-release.keystore ~/Library/Mobile\ Documents/com~apple~CloudDocs/</t>
        </is>
      </c>
    </row>
    <row r="34" ht="22" customHeight="1">
      <c r="A34" s="61" t="inlineStr">
        <is>
          <t>Run iCloud full sync</t>
        </is>
      </c>
      <c r="B34" s="62" t="inlineStr">
        <is>
          <t>⚠️ DO NOW</t>
        </is>
      </c>
      <c r="C34" s="63" t="inlineStr">
        <is>
          <t>bash ~/Desktop/Cowork/SoulGainz/sync-to-icloud.sh</t>
        </is>
      </c>
    </row>
    <row r="35" ht="22" customHeight="1">
      <c r="A35" s="52" t="inlineStr">
        <is>
          <t>Instagram content — next batch</t>
        </is>
      </c>
      <c r="B35" s="53" t="inlineStr">
        <is>
          <t>📋 PENDING</t>
        </is>
      </c>
      <c r="C35" s="54" t="inlineStr">
        <is>
          <t>4 posts done · continue social calendar</t>
        </is>
      </c>
    </row>
    <row r="36" ht="22" customHeight="1">
      <c r="A36" s="52" t="inlineStr">
        <is>
          <t>Send launch email to waitlist</t>
        </is>
      </c>
      <c r="B36" s="53" t="inlineStr">
        <is>
          <t>📋 PENDING</t>
        </is>
      </c>
      <c r="C36" s="54" t="inlineStr">
        <is>
          <t>Trigger Resend launch sequence</t>
        </is>
      </c>
    </row>
    <row r="37" ht="22" customHeight="1">
      <c r="A37" s="52" t="inlineStr">
        <is>
          <t>Update paywall recipe count 94 → 173</t>
        </is>
      </c>
      <c r="B37" s="53" t="inlineStr">
        <is>
          <t>📋 PENDING</t>
        </is>
      </c>
      <c r="C37" s="54" t="inlineStr">
        <is>
          <t>index.html paywall card still shows 94</t>
        </is>
      </c>
    </row>
    <row r="38" ht="22" customHeight="1">
      <c r="A38" s="52" t="inlineStr">
        <is>
          <t>Analytics setup (Plausible or GA4)</t>
        </is>
      </c>
      <c r="B38" s="53" t="inlineStr">
        <is>
          <t>📋 PENDING</t>
        </is>
      </c>
      <c r="C38" s="54" t="inlineStr">
        <is>
          <t>Track signups, conversions, page views</t>
        </is>
      </c>
    </row>
  </sheetData>
  <mergeCells count="6">
    <mergeCell ref="A25:C25"/>
    <mergeCell ref="A11:C11"/>
    <mergeCell ref="A1:C1"/>
    <mergeCell ref="A32:C32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2026-08-18T11:48:17Z</dcterms:created>
  <dcterms:modified xmlns:dcterms="http://purl.org/dc/terms/" xmlns:xsi="http://www.w3.org/2001/XMLSchema-instance" xsi:type="dcterms:W3CDTF">2026-08-18T11:48:17Z</dcterms:modified>
</cp:coreProperties>
</file>