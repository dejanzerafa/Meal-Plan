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P&amp;L Summary" sheetId="4" state="visible" r:id="rId4"/>
    <sheet xmlns:r="http://schemas.openxmlformats.org/officeDocument/2006/relationships" name="Pending + Next Step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_(\$* #,##0.00_);_(\$* \(#,##0.00\);_(\$* \-??_);_(@_)"/>
    <numFmt numFmtId="165" formatCode="0.0%"/>
    <numFmt numFmtId="166" formatCode="_(\$* #,##0_);_(\$* \(#,##0\);_(\$* \-_);_(@_)"/>
    <numFmt numFmtId="167" formatCode="0.0\x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5C99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A7A1A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C0392B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1A7A1A"/>
      <sz val="10"/>
    </font>
  </fonts>
  <fills count="17">
    <fill>
      <patternFill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50"/>
        <bgColor rgb="FF333399"/>
      </patternFill>
    </fill>
    <fill>
      <patternFill patternType="solid">
        <fgColor rgb="FFE07B2A"/>
        <bgColor rgb="FFFF9900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EAFAF1"/>
      </patternFill>
    </fill>
    <fill>
      <patternFill patternType="solid">
        <fgColor rgb="FFF9F9F9"/>
        <bgColor rgb="FFFFFFFF"/>
      </patternFill>
    </fill>
    <fill>
      <patternFill patternType="solid">
        <fgColor rgb="FFF2F0EC"/>
        <bgColor rgb="FFEBF3FB"/>
      </patternFill>
    </fill>
    <fill>
      <patternFill patternType="solid">
        <fgColor rgb="FFFFF3E0"/>
        <bgColor rgb="FFFEF9E7"/>
      </patternFill>
    </fill>
    <fill>
      <patternFill patternType="solid">
        <fgColor rgb="FFE8F5E9"/>
        <bgColor rgb="FFEAFAF1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008080"/>
      </patternFill>
    </fill>
    <fill>
      <patternFill patternType="solid">
        <fgColor rgb="FFFADBD8"/>
        <bgColor rgb="FFF2F0EC"/>
      </patternFill>
    </fill>
    <fill>
      <patternFill patternType="solid">
        <fgColor rgb="FFFEF9E7"/>
        <bgColor rgb="FFFFF3E0"/>
      </patternFill>
    </fill>
    <fill>
      <patternFill patternType="solid">
        <fgColor rgb="FFEAFAF1"/>
        <bgColor rgb="FFE8F5E9"/>
      </patternFill>
    </fill>
    <fill>
      <patternFill patternType="solid">
        <fgColor rgb="FFFFF3CD"/>
        <bgColor rgb="FFFFF3E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center" vertical="center"/>
    </xf>
    <xf numFmtId="166" fontId="10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indent="1"/>
    </xf>
    <xf numFmtId="3" fontId="10" fillId="13" borderId="1" applyAlignment="1" pivotButton="0" quotePrefix="0" xfId="0">
      <alignment horizontal="center" vertical="center"/>
    </xf>
    <xf numFmtId="3" fontId="10" fillId="14" borderId="1" applyAlignment="1" pivotButton="0" quotePrefix="0" xfId="0">
      <alignment horizontal="center" vertical="center"/>
    </xf>
    <xf numFmtId="3" fontId="10" fillId="15" borderId="1" applyAlignment="1" pivotButton="0" quotePrefix="0" xfId="0">
      <alignment horizontal="center" vertical="center"/>
    </xf>
    <xf numFmtId="165" fontId="10" fillId="13" borderId="1" applyAlignment="1" pivotButton="0" quotePrefix="0" xfId="0">
      <alignment horizontal="center" vertical="center"/>
    </xf>
    <xf numFmtId="165" fontId="10" fillId="14" borderId="1" applyAlignment="1" pivotButton="0" quotePrefix="0" xfId="0">
      <alignment horizontal="center" vertical="center"/>
    </xf>
    <xf numFmtId="165" fontId="10" fillId="15" borderId="1" applyAlignment="1" pivotButton="0" quotePrefix="0" xfId="0">
      <alignment horizontal="center" vertical="center"/>
    </xf>
    <xf numFmtId="166" fontId="10" fillId="13" borderId="1" applyAlignment="1" pivotButton="0" quotePrefix="0" xfId="0">
      <alignment horizontal="center" vertical="center"/>
    </xf>
    <xf numFmtId="166" fontId="10" fillId="14" borderId="1" applyAlignment="1" pivotButton="0" quotePrefix="0" xfId="0">
      <alignment horizontal="center" vertical="center"/>
    </xf>
    <xf numFmtId="166" fontId="10" fillId="15" borderId="1" applyAlignment="1" pivotButton="0" quotePrefix="0" xfId="0">
      <alignment horizontal="center" vertical="center"/>
    </xf>
    <xf numFmtId="166" fontId="12" fillId="13" borderId="1" applyAlignment="1" pivotButton="0" quotePrefix="0" xfId="0">
      <alignment horizontal="center" vertical="center"/>
    </xf>
    <xf numFmtId="166" fontId="12" fillId="14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164" fontId="10" fillId="13" borderId="1" applyAlignment="1" pivotButton="0" quotePrefix="0" xfId="0">
      <alignment horizontal="center" vertical="center"/>
    </xf>
    <xf numFmtId="164" fontId="10" fillId="14" borderId="1" applyAlignment="1" pivotButton="0" quotePrefix="0" xfId="0">
      <alignment horizontal="center" vertical="center"/>
    </xf>
    <xf numFmtId="164" fontId="10" fillId="1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166" fontId="13" fillId="8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3" fontId="13" fillId="8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 wrapText="1" inden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 indent="1"/>
    </xf>
    <xf numFmtId="0" fontId="11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 indent="1"/>
    </xf>
    <xf numFmtId="0" fontId="6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 indent="1"/>
    </xf>
    <xf numFmtId="0" fontId="6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indent="1"/>
    </xf>
    <xf numFmtId="0" fontId="0" fillId="0" borderId="4" pivotButton="0" quotePrefix="0" xfId="0"/>
    <xf numFmtId="0" fontId="6" fillId="5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center" vertical="center"/>
    </xf>
    <xf numFmtId="166" fontId="10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indent="1"/>
    </xf>
    <xf numFmtId="3" fontId="10" fillId="13" borderId="1" applyAlignment="1" pivotButton="0" quotePrefix="0" xfId="0">
      <alignment horizontal="center" vertical="center"/>
    </xf>
    <xf numFmtId="3" fontId="10" fillId="14" borderId="1" applyAlignment="1" pivotButton="0" quotePrefix="0" xfId="0">
      <alignment horizontal="center" vertical="center"/>
    </xf>
    <xf numFmtId="3" fontId="10" fillId="15" borderId="1" applyAlignment="1" pivotButton="0" quotePrefix="0" xfId="0">
      <alignment horizontal="center" vertical="center"/>
    </xf>
    <xf numFmtId="165" fontId="10" fillId="13" borderId="1" applyAlignment="1" pivotButton="0" quotePrefix="0" xfId="0">
      <alignment horizontal="center" vertical="center"/>
    </xf>
    <xf numFmtId="165" fontId="10" fillId="14" borderId="1" applyAlignment="1" pivotButton="0" quotePrefix="0" xfId="0">
      <alignment horizontal="center" vertical="center"/>
    </xf>
    <xf numFmtId="165" fontId="10" fillId="15" borderId="1" applyAlignment="1" pivotButton="0" quotePrefix="0" xfId="0">
      <alignment horizontal="center" vertical="center"/>
    </xf>
    <xf numFmtId="166" fontId="10" fillId="13" borderId="1" applyAlignment="1" pivotButton="0" quotePrefix="0" xfId="0">
      <alignment horizontal="center" vertical="center"/>
    </xf>
    <xf numFmtId="166" fontId="10" fillId="14" borderId="1" applyAlignment="1" pivotButton="0" quotePrefix="0" xfId="0">
      <alignment horizontal="center" vertical="center"/>
    </xf>
    <xf numFmtId="166" fontId="10" fillId="15" borderId="1" applyAlignment="1" pivotButton="0" quotePrefix="0" xfId="0">
      <alignment horizontal="center" vertical="center"/>
    </xf>
    <xf numFmtId="166" fontId="12" fillId="13" borderId="1" applyAlignment="1" pivotButton="0" quotePrefix="0" xfId="0">
      <alignment horizontal="center" vertical="center"/>
    </xf>
    <xf numFmtId="166" fontId="12" fillId="14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164" fontId="10" fillId="13" borderId="1" applyAlignment="1" pivotButton="0" quotePrefix="0" xfId="0">
      <alignment horizontal="center" vertical="center"/>
    </xf>
    <xf numFmtId="164" fontId="10" fillId="14" borderId="1" applyAlignment="1" pivotButton="0" quotePrefix="0" xfId="0">
      <alignment horizontal="center" vertical="center"/>
    </xf>
    <xf numFmtId="164" fontId="10" fillId="1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166" fontId="13" fillId="8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3" fontId="13" fillId="8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left" vertical="center" wrapText="1" inden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 indent="1"/>
    </xf>
    <xf numFmtId="0" fontId="11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 indent="1"/>
    </xf>
    <xf numFmtId="0" fontId="6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 indent="1"/>
    </xf>
    <xf numFmtId="0" fontId="6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1A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AF1"/>
      <rgbColor rgb="FF660066"/>
      <rgbColor rgb="FFFF8080"/>
      <rgbColor rgb="FF1F5C99"/>
      <rgbColor rgb="FFF2F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FF3E0"/>
      <rgbColor rgb="FFF9F9F9"/>
      <rgbColor rgb="FFFEF9E7"/>
      <rgbColor rgb="FFCC99FF"/>
      <rgbColor rgb="FFFADBD8"/>
      <rgbColor rgb="FF3366FF"/>
      <rgbColor rgb="FF33CCCC"/>
      <rgbColor rgb="FF99CC00"/>
      <rgbColor rgb="FFFFCC00"/>
      <rgbColor rgb="FFFF9900"/>
      <rgbColor rgb="FFE07B2A"/>
      <rgbColor rgb="FF666699"/>
      <rgbColor rgb="FF969696"/>
      <rgbColor rgb="FF003366"/>
      <rgbColor rgb="FF27AE60"/>
      <rgbColor rgb="FF003300"/>
      <rgbColor rgb="FF1A1A2E"/>
      <rgbColor rgb="FFC0392B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60" min="1" max="1"/>
    <col width="16" customWidth="1" style="60" min="2" max="2"/>
    <col width="14" customWidth="1" style="60" min="3" max="3"/>
    <col width="40" customWidth="1" style="60" min="4" max="4"/>
  </cols>
  <sheetData>
    <row r="1" ht="33.75" customHeight="1" s="61">
      <c r="A1" s="62" t="inlineStr">
        <is>
          <t>SOULGAINZ  ·  Financial Model — Assumptions  (AUD)</t>
        </is>
      </c>
    </row>
    <row r="2" ht="19.5" customHeight="1" s="61">
      <c r="A2" s="63" t="inlineStr">
        <is>
          <t>Assumption</t>
        </is>
      </c>
      <c r="B2" s="63" t="inlineStr">
        <is>
          <t>Value</t>
        </is>
      </c>
      <c r="C2" s="63" t="inlineStr">
        <is>
          <t>Unit</t>
        </is>
      </c>
      <c r="D2" s="63" t="inlineStr">
        <is>
          <t>Notes</t>
        </is>
      </c>
    </row>
    <row r="3" ht="19.5" customHeight="1" s="61">
      <c r="A3" s="64" t="inlineStr">
        <is>
          <t>PRICING (AUD inc. GST)</t>
        </is>
      </c>
      <c r="B3" s="65" t="n"/>
      <c r="C3" s="65" t="n"/>
      <c r="D3" s="65" t="n"/>
    </row>
    <row r="4" ht="18" customHeight="1" s="61">
      <c r="A4" s="66" t="inlineStr">
        <is>
          <t>Monthly Pro price</t>
        </is>
      </c>
      <c r="B4" s="67" t="n">
        <v>16.99</v>
      </c>
      <c r="C4" s="68" t="inlineStr">
        <is>
          <t>AUD/mo</t>
        </is>
      </c>
      <c r="D4" s="66" t="inlineStr">
        <is>
          <t>Stripe ID: price_1U56lUGjmPEqu9q9Rgk9ZIDK</t>
        </is>
      </c>
    </row>
    <row r="5" ht="18" customHeight="1" s="61">
      <c r="A5" s="66" t="inlineStr">
        <is>
          <t>Annual Pro price</t>
        </is>
      </c>
      <c r="B5" s="67" t="n">
        <v>150</v>
      </c>
      <c r="C5" s="68" t="inlineStr">
        <is>
          <t>AUD/yr</t>
        </is>
      </c>
      <c r="D5" s="66" t="inlineStr">
        <is>
          <t>Stripe ID: price_1U56lDGjmPEqu9q9xfEMKPAd  ·  $12.50/mo effective  ·  saves $53.88/yr vs monthly</t>
        </is>
      </c>
    </row>
    <row r="6" ht="18" customHeight="1" s="61">
      <c r="A6" s="66" t="inlineStr">
        <is>
          <t>Stripe fee (blended rate)</t>
        </is>
      </c>
      <c r="B6" s="69" t="n">
        <v>0.025</v>
      </c>
      <c r="C6" s="68" t="inlineStr">
        <is>
          <t>%</t>
        </is>
      </c>
      <c r="D6" s="66" t="inlineStr">
        <is>
          <t>1.7% domestic + 3.5% intl — blended ~2.5%</t>
        </is>
      </c>
    </row>
    <row r="7" ht="18" customHeight="1" s="61">
      <c r="A7" s="66" t="inlineStr">
        <is>
          <t>Stripe fixed fee</t>
        </is>
      </c>
      <c r="B7" s="67" t="n">
        <v>0.3</v>
      </c>
      <c r="C7" s="68" t="inlineStr">
        <is>
          <t>AUD</t>
        </is>
      </c>
      <c r="D7" s="66" t="inlineStr">
        <is>
          <t>Per transaction</t>
        </is>
      </c>
    </row>
    <row r="8" ht="19.5" customHeight="1" s="61">
      <c r="A8" s="64" t="inlineStr">
        <is>
          <t>SUBSCRIBER MIX</t>
        </is>
      </c>
      <c r="B8" s="65" t="n"/>
      <c r="C8" s="65" t="n"/>
      <c r="D8" s="65" t="n"/>
    </row>
    <row r="9" ht="18" customHeight="1" s="61">
      <c r="A9" s="66" t="inlineStr">
        <is>
          <t>Monthly : Annual split</t>
        </is>
      </c>
      <c r="B9" s="69" t="n">
        <v>0.6</v>
      </c>
      <c r="C9" s="68" t="inlineStr">
        <is>
          <t>% monthly</t>
        </is>
      </c>
      <c r="D9" s="66" t="inlineStr">
        <is>
          <t>60% monthly, 40% annual (assumed)</t>
        </is>
      </c>
    </row>
    <row r="10" ht="18" customHeight="1" s="61">
      <c r="A10" s="66" t="inlineStr">
        <is>
          <t>Free-to-paid conversion</t>
        </is>
      </c>
      <c r="B10" s="69" t="n">
        <v>0.04</v>
      </c>
      <c r="C10" s="68" t="inlineStr">
        <is>
          <t>%</t>
        </is>
      </c>
      <c r="D10" s="66" t="inlineStr">
        <is>
          <t>4% — fitness app industry benchmark</t>
        </is>
      </c>
    </row>
    <row r="11" ht="19.5" customHeight="1" s="61">
      <c r="A11" s="64" t="inlineStr">
        <is>
          <t>CHURN</t>
        </is>
      </c>
      <c r="B11" s="65" t="n"/>
      <c r="C11" s="65" t="n"/>
      <c r="D11" s="65" t="n"/>
    </row>
    <row r="12" ht="18" customHeight="1" s="61">
      <c r="A12" s="66" t="inlineStr">
        <is>
          <t>Monthly sub churn</t>
        </is>
      </c>
      <c r="B12" s="69" t="n">
        <v>0.06</v>
      </c>
      <c r="C12" s="68" t="inlineStr">
        <is>
          <t>%/mo</t>
        </is>
      </c>
      <c r="D12" s="66" t="inlineStr">
        <is>
          <t>6%/mo ≈ 52% annual — typical fitness app</t>
        </is>
      </c>
    </row>
    <row r="13" ht="18" customHeight="1" s="61">
      <c r="A13" s="66" t="inlineStr">
        <is>
          <t>Annual renewal rate</t>
        </is>
      </c>
      <c r="B13" s="69" t="n">
        <v>0.78</v>
      </c>
      <c r="C13" s="68" t="inlineStr">
        <is>
          <t>%</t>
        </is>
      </c>
      <c r="D13" s="66" t="inlineStr">
        <is>
          <t>78% renew  ·  22% annual churn</t>
        </is>
      </c>
    </row>
    <row r="14" ht="19.5" customHeight="1" s="61">
      <c r="A14" s="64" t="inlineStr">
        <is>
          <t>USER ACQUISITION — BASE CASE</t>
        </is>
      </c>
      <c r="B14" s="65" t="n"/>
      <c r="C14" s="65" t="n"/>
      <c r="D14" s="65" t="n"/>
    </row>
    <row r="15" ht="18" customHeight="1" s="61">
      <c r="A15" s="66" t="inlineStr">
        <is>
          <t>Month 1 new free signups</t>
        </is>
      </c>
      <c r="B15" s="70" t="n">
        <v>80</v>
      </c>
      <c r="C15" s="68" t="inlineStr">
        <is>
          <t>users</t>
        </is>
      </c>
      <c r="D15" s="66" t="inlineStr">
        <is>
          <t>Waitlist conversion + launch organic traffic</t>
        </is>
      </c>
    </row>
    <row r="16" ht="18" customHeight="1" s="61">
      <c r="A16" s="66" t="inlineStr">
        <is>
          <t>Monthly signup growth</t>
        </is>
      </c>
      <c r="B16" s="69" t="n">
        <v>0.15</v>
      </c>
      <c r="C16" s="68" t="inlineStr">
        <is>
          <t>%/mo</t>
        </is>
      </c>
      <c r="D16" s="66" t="inlineStr">
        <is>
          <t>15% MoM — SEO, word of mouth, Instagram</t>
        </is>
      </c>
    </row>
    <row r="17" ht="19.5" customHeight="1" s="61">
      <c r="A17" s="64" t="inlineStr">
        <is>
          <t>FIXED MONTHLY COSTS (AUD)</t>
        </is>
      </c>
      <c r="B17" s="65" t="n"/>
      <c r="C17" s="65" t="n"/>
      <c r="D17" s="65" t="n"/>
    </row>
    <row r="18" ht="18" customHeight="1" s="61">
      <c r="A18" s="66" t="inlineStr">
        <is>
          <t>Netlify hosting</t>
        </is>
      </c>
      <c r="B18" s="67" t="n">
        <v>0</v>
      </c>
      <c r="C18" s="68" t="inlineStr">
        <is>
          <t>AUD/mo</t>
        </is>
      </c>
      <c r="D18" s="66" t="inlineStr">
        <is>
          <t>Free tier  ·  upgrade to $19/mo at scale</t>
        </is>
      </c>
    </row>
    <row r="19" ht="18" customHeight="1" s="61">
      <c r="A19" s="66" t="inlineStr">
        <is>
          <t>Supabase</t>
        </is>
      </c>
      <c r="B19" s="67" t="n">
        <v>0</v>
      </c>
      <c r="C19" s="68" t="inlineStr">
        <is>
          <t>AUD/mo</t>
        </is>
      </c>
      <c r="D19" s="66" t="inlineStr">
        <is>
          <t>Free tier  ·  upgrade to ~$35/mo at scale</t>
        </is>
      </c>
    </row>
    <row r="20" ht="18" customHeight="1" s="61">
      <c r="A20" s="66" t="inlineStr">
        <is>
          <t>Apple Developer Program</t>
        </is>
      </c>
      <c r="B20" s="67" t="n">
        <v>8.25</v>
      </c>
      <c r="C20" s="68" t="inlineStr">
        <is>
          <t>AUD/mo</t>
        </is>
      </c>
      <c r="D20" s="66" t="inlineStr">
        <is>
          <t>$99 USD/yr ≈ A$152/yr ÷ 12  (pending enrollment)</t>
        </is>
      </c>
    </row>
    <row r="21" ht="18" customHeight="1" s="61">
      <c r="A21" s="66" t="inlineStr">
        <is>
          <t>Google Play</t>
        </is>
      </c>
      <c r="B21" s="67" t="n">
        <v>0</v>
      </c>
      <c r="C21" s="68" t="inlineStr">
        <is>
          <t>AUD/mo</t>
        </is>
      </c>
      <c r="D21" s="66" t="inlineStr">
        <is>
          <t>$25 USD one-time — already paid ✅</t>
        </is>
      </c>
    </row>
    <row r="22" ht="18" customHeight="1" s="61">
      <c r="A22" s="66" t="inlineStr">
        <is>
          <t>Domain (soulgainz.app)</t>
        </is>
      </c>
      <c r="B22" s="67" t="n">
        <v>1.67</v>
      </c>
      <c r="C22" s="68" t="inlineStr">
        <is>
          <t>AUD/mo</t>
        </is>
      </c>
      <c r="D22" s="66" t="inlineStr">
        <is>
          <t>~$20/yr</t>
        </is>
      </c>
    </row>
    <row r="23" ht="18" customHeight="1" s="61">
      <c r="A23" s="66" t="inlineStr">
        <is>
          <t>Resend email</t>
        </is>
      </c>
      <c r="B23" s="67" t="n">
        <v>0</v>
      </c>
      <c r="C23" s="68" t="inlineStr">
        <is>
          <t>AUD/mo</t>
        </is>
      </c>
      <c r="D23" s="66" t="inlineStr">
        <is>
          <t>Free tier (3,000 emails/day)</t>
        </is>
      </c>
    </row>
    <row r="24" ht="18" customHeight="1" s="61">
      <c r="A24" s="66" t="inlineStr">
        <is>
          <t>Sentry error tracking</t>
        </is>
      </c>
      <c r="B24" s="67" t="n">
        <v>0</v>
      </c>
      <c r="C24" s="68" t="inlineStr">
        <is>
          <t>AUD/mo</t>
        </is>
      </c>
      <c r="D24" s="66" t="inlineStr">
        <is>
          <t>Free tier</t>
        </is>
      </c>
    </row>
    <row r="25" ht="18" customHeight="1" s="61">
      <c r="A25" s="66" t="inlineStr">
        <is>
          <t>Misc / contingency</t>
        </is>
      </c>
      <c r="B25" s="67" t="n">
        <v>10</v>
      </c>
      <c r="C25" s="68" t="inlineStr">
        <is>
          <t>AUD/mo</t>
        </is>
      </c>
      <c r="D25" s="66" t="inlineStr">
        <is>
          <t>Buffer for tools, ad testing, misc</t>
        </is>
      </c>
    </row>
    <row r="26" ht="19.5" customHeight="1" s="61">
      <c r="A26" s="64" t="inlineStr">
        <is>
          <t>BUILD INVESTMENT (SUNK COSTS)</t>
        </is>
      </c>
      <c r="B26" s="65" t="n"/>
      <c r="C26" s="65" t="n"/>
      <c r="D26" s="65" t="n"/>
    </row>
    <row r="27" ht="18" customHeight="1" s="61">
      <c r="A27" s="66" t="inlineStr">
        <is>
          <t>Est. dev hours</t>
        </is>
      </c>
      <c r="B27" s="70" t="n">
        <v>400</v>
      </c>
      <c r="C27" s="68" t="inlineStr">
        <is>
          <t>hours</t>
        </is>
      </c>
      <c r="D27" s="66" t="inlineStr">
        <is>
          <t>Approx time building SoulGainz (Claude-assisted)</t>
        </is>
      </c>
    </row>
    <row r="28" ht="18" customHeight="1" s="61">
      <c r="A28" s="66" t="inlineStr">
        <is>
          <t>Market rate</t>
        </is>
      </c>
      <c r="B28" s="70" t="n">
        <v>120</v>
      </c>
      <c r="C28" s="68" t="inlineStr">
        <is>
          <t>AUD/hr</t>
        </is>
      </c>
      <c r="D28" s="66" t="inlineStr">
        <is>
          <t>Mid-level full-stack developer rate, Melbourne</t>
        </is>
      </c>
    </row>
    <row r="29" ht="18" customHeight="1" s="61">
      <c r="A29" s="66" t="inlineStr">
        <is>
          <t>Implied sweat equity value</t>
        </is>
      </c>
      <c r="B29" s="70" t="n">
        <v>48000</v>
      </c>
      <c r="C29" s="68" t="inlineStr">
        <is>
          <t>AUD</t>
        </is>
      </c>
      <c r="D29" s="66" t="inlineStr">
        <is>
          <t>Hours × rate  ·  sunk cost, not ongoing cash</t>
        </is>
      </c>
    </row>
    <row r="30" ht="18" customHeight="1" s="61">
      <c r="A30" s="66" t="inlineStr">
        <is>
          <t>Google Play (one-time)</t>
        </is>
      </c>
      <c r="B30" s="70" t="n">
        <v>25</v>
      </c>
      <c r="C30" s="68" t="inlineStr">
        <is>
          <t>USD</t>
        </is>
      </c>
      <c r="D30" s="66" t="inlineStr">
        <is>
          <t>Paid ✅  ≈ A$38</t>
        </is>
      </c>
    </row>
    <row r="31" ht="18" customHeight="1" s="61">
      <c r="A31" s="66" t="inlineStr">
        <is>
          <t>Apple Developer (yr 1)</t>
        </is>
      </c>
      <c r="B31" s="70" t="n">
        <v>152</v>
      </c>
      <c r="C31" s="68" t="inlineStr">
        <is>
          <t>AUD</t>
        </is>
      </c>
      <c r="D31" s="66" t="inlineStr">
        <is>
          <t>Pending ⏳  ≈ $99 USD</t>
        </is>
      </c>
    </row>
    <row r="32" ht="18" customHeight="1" s="61">
      <c r="A32" s="66" t="inlineStr">
        <is>
          <t>Domain (yr 1)</t>
        </is>
      </c>
      <c r="B32" s="70" t="n">
        <v>20</v>
      </c>
      <c r="C32" s="68" t="inlineStr">
        <is>
          <t>AUD</t>
        </is>
      </c>
      <c r="D32" s="66" t="inlineStr">
        <is>
          <t>Registered ✅</t>
        </is>
      </c>
    </row>
  </sheetData>
  <mergeCells count="7">
    <mergeCell ref="A1:D1"/>
    <mergeCell ref="A17:D17"/>
    <mergeCell ref="A8:D8"/>
    <mergeCell ref="A3:D3"/>
    <mergeCell ref="A26:D26"/>
    <mergeCell ref="A11:D11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8" customWidth="1" style="60" min="1" max="1"/>
    <col width="8.5" customWidth="1" style="60" min="2" max="25"/>
  </cols>
  <sheetData>
    <row r="1" ht="33.75" customHeight="1" s="61">
      <c r="A1" s="62" t="inlineStr">
        <is>
          <t>SOULGAINZ  ·  24-Month Revenue Model  (AUD, Base Case)</t>
        </is>
      </c>
    </row>
    <row r="2" ht="19.5" customHeight="1" s="61">
      <c r="A2" s="71" t="inlineStr">
        <is>
          <t>Metric</t>
        </is>
      </c>
      <c r="B2" s="71" t="inlineStr">
        <is>
          <t>M1</t>
        </is>
      </c>
      <c r="C2" s="71" t="inlineStr">
        <is>
          <t>M2</t>
        </is>
      </c>
      <c r="D2" s="71" t="inlineStr">
        <is>
          <t>M3</t>
        </is>
      </c>
      <c r="E2" s="71" t="inlineStr">
        <is>
          <t>M4</t>
        </is>
      </c>
      <c r="F2" s="71" t="inlineStr">
        <is>
          <t>M5</t>
        </is>
      </c>
      <c r="G2" s="71" t="inlineStr">
        <is>
          <t>M6</t>
        </is>
      </c>
      <c r="H2" s="71" t="inlineStr">
        <is>
          <t>M7</t>
        </is>
      </c>
      <c r="I2" s="71" t="inlineStr">
        <is>
          <t>M8</t>
        </is>
      </c>
      <c r="J2" s="71" t="inlineStr">
        <is>
          <t>M9</t>
        </is>
      </c>
      <c r="K2" s="71" t="inlineStr">
        <is>
          <t>M10</t>
        </is>
      </c>
      <c r="L2" s="71" t="inlineStr">
        <is>
          <t>M11</t>
        </is>
      </c>
      <c r="M2" s="71" t="inlineStr">
        <is>
          <t>M12</t>
        </is>
      </c>
      <c r="N2" s="71" t="inlineStr">
        <is>
          <t>M13</t>
        </is>
      </c>
      <c r="O2" s="71" t="inlineStr">
        <is>
          <t>M14</t>
        </is>
      </c>
      <c r="P2" s="71" t="inlineStr">
        <is>
          <t>M15</t>
        </is>
      </c>
      <c r="Q2" s="71" t="inlineStr">
        <is>
          <t>M16</t>
        </is>
      </c>
      <c r="R2" s="71" t="inlineStr">
        <is>
          <t>M17</t>
        </is>
      </c>
      <c r="S2" s="71" t="inlineStr">
        <is>
          <t>M18</t>
        </is>
      </c>
      <c r="T2" s="71" t="inlineStr">
        <is>
          <t>M19</t>
        </is>
      </c>
      <c r="U2" s="71" t="inlineStr">
        <is>
          <t>M20</t>
        </is>
      </c>
      <c r="V2" s="71" t="inlineStr">
        <is>
          <t>M21</t>
        </is>
      </c>
      <c r="W2" s="71" t="inlineStr">
        <is>
          <t>M22</t>
        </is>
      </c>
      <c r="X2" s="71" t="inlineStr">
        <is>
          <t>M23</t>
        </is>
      </c>
      <c r="Y2" s="71" t="inlineStr">
        <is>
          <t>M24</t>
        </is>
      </c>
    </row>
    <row r="3" ht="19.5" customHeight="1" s="61">
      <c r="A3" s="64" t="inlineStr">
        <is>
          <t>FREE USERS</t>
        </is>
      </c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</row>
    <row r="4" ht="16.5" customHeight="1" s="61">
      <c r="A4" s="72" t="inlineStr">
        <is>
          <t xml:space="preserve">  New signups</t>
        </is>
      </c>
      <c r="B4" s="73">
        <f>'Assumptions'!B15</f>
        <v/>
      </c>
      <c r="C4" s="74">
        <f>ROUND(B4*(1+'Assumptions'!B16),0)</f>
        <v/>
      </c>
      <c r="D4" s="74">
        <f>ROUND(C4*(1+'Assumptions'!B16),0)</f>
        <v/>
      </c>
      <c r="E4" s="74">
        <f>ROUND(D4*(1+'Assumptions'!B16),0)</f>
        <v/>
      </c>
      <c r="F4" s="74">
        <f>ROUND(E4*(1+'Assumptions'!B16),0)</f>
        <v/>
      </c>
      <c r="G4" s="74">
        <f>ROUND(F4*(1+'Assumptions'!B16),0)</f>
        <v/>
      </c>
      <c r="H4" s="74">
        <f>ROUND(G4*(1+'Assumptions'!B16),0)</f>
        <v/>
      </c>
      <c r="I4" s="74">
        <f>ROUND(H4*(1+'Assumptions'!B16),0)</f>
        <v/>
      </c>
      <c r="J4" s="74">
        <f>ROUND(I4*(1+'Assumptions'!B16),0)</f>
        <v/>
      </c>
      <c r="K4" s="74">
        <f>ROUND(J4*(1+'Assumptions'!B16),0)</f>
        <v/>
      </c>
      <c r="L4" s="74">
        <f>ROUND(K4*(1+'Assumptions'!B16),0)</f>
        <v/>
      </c>
      <c r="M4" s="74">
        <f>ROUND(L4*(1+'Assumptions'!B16),0)</f>
        <v/>
      </c>
      <c r="N4" s="74">
        <f>ROUND(M4*(1+'Assumptions'!B16),0)</f>
        <v/>
      </c>
      <c r="O4" s="74">
        <f>ROUND(N4*(1+'Assumptions'!B16),0)</f>
        <v/>
      </c>
      <c r="P4" s="74">
        <f>ROUND(O4*(1+'Assumptions'!B16),0)</f>
        <v/>
      </c>
      <c r="Q4" s="74">
        <f>ROUND(P4*(1+'Assumptions'!B16),0)</f>
        <v/>
      </c>
      <c r="R4" s="74">
        <f>ROUND(Q4*(1+'Assumptions'!B16),0)</f>
        <v/>
      </c>
      <c r="S4" s="74">
        <f>ROUND(R4*(1+'Assumptions'!B16),0)</f>
        <v/>
      </c>
      <c r="T4" s="74">
        <f>ROUND(S4*(1+'Assumptions'!B16),0)</f>
        <v/>
      </c>
      <c r="U4" s="74">
        <f>ROUND(T4*(1+'Assumptions'!B16),0)</f>
        <v/>
      </c>
      <c r="V4" s="74">
        <f>ROUND(U4*(1+'Assumptions'!B16),0)</f>
        <v/>
      </c>
      <c r="W4" s="74">
        <f>ROUND(V4*(1+'Assumptions'!B16),0)</f>
        <v/>
      </c>
      <c r="X4" s="74">
        <f>ROUND(W4*(1+'Assumptions'!B16),0)</f>
        <v/>
      </c>
      <c r="Y4" s="74">
        <f>ROUND(X4*(1+'Assumptions'!B16),0)</f>
        <v/>
      </c>
    </row>
    <row r="5" ht="16.5" customHeight="1" s="61">
      <c r="A5" s="72" t="inlineStr">
        <is>
          <t xml:space="preserve">  Cumulative free users</t>
        </is>
      </c>
      <c r="B5" s="74">
        <f>B4</f>
        <v/>
      </c>
      <c r="C5" s="74">
        <f>IFERROR(B5+C4-C7,0)</f>
        <v/>
      </c>
      <c r="D5" s="74">
        <f>IFERROR(C5+D4-D7,0)</f>
        <v/>
      </c>
      <c r="E5" s="74">
        <f>IFERROR(D5+E4-E7,0)</f>
        <v/>
      </c>
      <c r="F5" s="74">
        <f>IFERROR(E5+F4-F7,0)</f>
        <v/>
      </c>
      <c r="G5" s="74">
        <f>IFERROR(F5+G4-G7,0)</f>
        <v/>
      </c>
      <c r="H5" s="74">
        <f>IFERROR(G5+H4-H7,0)</f>
        <v/>
      </c>
      <c r="I5" s="74">
        <f>IFERROR(H5+I4-I7,0)</f>
        <v/>
      </c>
      <c r="J5" s="74">
        <f>IFERROR(I5+J4-J7,0)</f>
        <v/>
      </c>
      <c r="K5" s="74">
        <f>IFERROR(J5+K4-K7,0)</f>
        <v/>
      </c>
      <c r="L5" s="74">
        <f>IFERROR(K5+L4-L7,0)</f>
        <v/>
      </c>
      <c r="M5" s="74">
        <f>IFERROR(L5+M4-M7,0)</f>
        <v/>
      </c>
      <c r="N5" s="74">
        <f>IFERROR(M5+N4-N7,0)</f>
        <v/>
      </c>
      <c r="O5" s="74">
        <f>IFERROR(N5+O4-O7,0)</f>
        <v/>
      </c>
      <c r="P5" s="74">
        <f>IFERROR(O5+P4-P7,0)</f>
        <v/>
      </c>
      <c r="Q5" s="74">
        <f>IFERROR(P5+Q4-Q7,0)</f>
        <v/>
      </c>
      <c r="R5" s="74">
        <f>IFERROR(Q5+R4-R7,0)</f>
        <v/>
      </c>
      <c r="S5" s="74">
        <f>IFERROR(R5+S4-S7,0)</f>
        <v/>
      </c>
      <c r="T5" s="74">
        <f>IFERROR(S5+T4-T7,0)</f>
        <v/>
      </c>
      <c r="U5" s="74">
        <f>IFERROR(T5+U4-U7,0)</f>
        <v/>
      </c>
      <c r="V5" s="74">
        <f>IFERROR(U5+V4-V7,0)</f>
        <v/>
      </c>
      <c r="W5" s="74">
        <f>IFERROR(V5+W4-W7,0)</f>
        <v/>
      </c>
      <c r="X5" s="74">
        <f>IFERROR(W5+X4-X7,0)</f>
        <v/>
      </c>
      <c r="Y5" s="74">
        <f>IFERROR(X5+Y4-Y7,0)</f>
        <v/>
      </c>
    </row>
    <row r="6" ht="19.5" customHeight="1" s="61">
      <c r="A6" s="64" t="inlineStr">
        <is>
          <t>SUBSCRIBERS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</row>
    <row r="7" ht="16.5" customHeight="1" s="61">
      <c r="A7" s="72" t="inlineStr">
        <is>
          <t xml:space="preserve">  New paid converts</t>
        </is>
      </c>
      <c r="B7" s="74">
        <f>ROUND(B4*'Assumptions'!B10,0)</f>
        <v/>
      </c>
      <c r="C7" s="74">
        <f>ROUND(C4*'Assumptions'!B10,0)</f>
        <v/>
      </c>
      <c r="D7" s="74">
        <f>ROUND(D4*'Assumptions'!B10,0)</f>
        <v/>
      </c>
      <c r="E7" s="74">
        <f>ROUND(E4*'Assumptions'!B10,0)</f>
        <v/>
      </c>
      <c r="F7" s="74">
        <f>ROUND(F4*'Assumptions'!B10,0)</f>
        <v/>
      </c>
      <c r="G7" s="74">
        <f>ROUND(G4*'Assumptions'!B10,0)</f>
        <v/>
      </c>
      <c r="H7" s="74">
        <f>ROUND(H4*'Assumptions'!B10,0)</f>
        <v/>
      </c>
      <c r="I7" s="74">
        <f>ROUND(I4*'Assumptions'!B10,0)</f>
        <v/>
      </c>
      <c r="J7" s="74">
        <f>ROUND(J4*'Assumptions'!B10,0)</f>
        <v/>
      </c>
      <c r="K7" s="74">
        <f>ROUND(K4*'Assumptions'!B10,0)</f>
        <v/>
      </c>
      <c r="L7" s="74">
        <f>ROUND(L4*'Assumptions'!B10,0)</f>
        <v/>
      </c>
      <c r="M7" s="74">
        <f>ROUND(M4*'Assumptions'!B10,0)</f>
        <v/>
      </c>
      <c r="N7" s="74">
        <f>ROUND(N4*'Assumptions'!B10,0)</f>
        <v/>
      </c>
      <c r="O7" s="74">
        <f>ROUND(O4*'Assumptions'!B10,0)</f>
        <v/>
      </c>
      <c r="P7" s="74">
        <f>ROUND(P4*'Assumptions'!B10,0)</f>
        <v/>
      </c>
      <c r="Q7" s="74">
        <f>ROUND(Q4*'Assumptions'!B10,0)</f>
        <v/>
      </c>
      <c r="R7" s="74">
        <f>ROUND(R4*'Assumptions'!B10,0)</f>
        <v/>
      </c>
      <c r="S7" s="74">
        <f>ROUND(S4*'Assumptions'!B10,0)</f>
        <v/>
      </c>
      <c r="T7" s="74">
        <f>ROUND(T4*'Assumptions'!B10,0)</f>
        <v/>
      </c>
      <c r="U7" s="74">
        <f>ROUND(U4*'Assumptions'!B10,0)</f>
        <v/>
      </c>
      <c r="V7" s="74">
        <f>ROUND(V4*'Assumptions'!B10,0)</f>
        <v/>
      </c>
      <c r="W7" s="74">
        <f>ROUND(W4*'Assumptions'!B10,0)</f>
        <v/>
      </c>
      <c r="X7" s="74">
        <f>ROUND(X4*'Assumptions'!B10,0)</f>
        <v/>
      </c>
      <c r="Y7" s="74">
        <f>ROUND(Y4*'Assumptions'!B10,0)</f>
        <v/>
      </c>
    </row>
    <row r="8" ht="16.5" customHeight="1" s="61">
      <c r="A8" s="72" t="inlineStr">
        <is>
          <t xml:space="preserve">  Monthly subs (active)</t>
        </is>
      </c>
      <c r="B8" s="74">
        <f>ROUND(B7*'Assumptions'!B9,0)</f>
        <v/>
      </c>
      <c r="C8" s="74">
        <f>ROUND((B8+C7*'Assumptions'!B9)*(1-'Assumptions'!B12),0)</f>
        <v/>
      </c>
      <c r="D8" s="74">
        <f>ROUND((C8+D7*'Assumptions'!B9)*(1-'Assumptions'!B12),0)</f>
        <v/>
      </c>
      <c r="E8" s="74">
        <f>ROUND((D8+E7*'Assumptions'!B9)*(1-'Assumptions'!B12),0)</f>
        <v/>
      </c>
      <c r="F8" s="74">
        <f>ROUND((E8+F7*'Assumptions'!B9)*(1-'Assumptions'!B12),0)</f>
        <v/>
      </c>
      <c r="G8" s="74">
        <f>ROUND((F8+G7*'Assumptions'!B9)*(1-'Assumptions'!B12),0)</f>
        <v/>
      </c>
      <c r="H8" s="74">
        <f>ROUND((G8+H7*'Assumptions'!B9)*(1-'Assumptions'!B12),0)</f>
        <v/>
      </c>
      <c r="I8" s="74">
        <f>ROUND((H8+I7*'Assumptions'!B9)*(1-'Assumptions'!B12),0)</f>
        <v/>
      </c>
      <c r="J8" s="74">
        <f>ROUND((I8+J7*'Assumptions'!B9)*(1-'Assumptions'!B12),0)</f>
        <v/>
      </c>
      <c r="K8" s="74">
        <f>ROUND((J8+K7*'Assumptions'!B9)*(1-'Assumptions'!B12),0)</f>
        <v/>
      </c>
      <c r="L8" s="74">
        <f>ROUND((K8+L7*'Assumptions'!B9)*(1-'Assumptions'!B12),0)</f>
        <v/>
      </c>
      <c r="M8" s="74">
        <f>ROUND((L8+M7*'Assumptions'!B9)*(1-'Assumptions'!B12),0)</f>
        <v/>
      </c>
      <c r="N8" s="74">
        <f>ROUND((M8+N7*'Assumptions'!B9)*(1-'Assumptions'!B12),0)</f>
        <v/>
      </c>
      <c r="O8" s="74">
        <f>ROUND((N8+O7*'Assumptions'!B9)*(1-'Assumptions'!B12),0)</f>
        <v/>
      </c>
      <c r="P8" s="74">
        <f>ROUND((O8+P7*'Assumptions'!B9)*(1-'Assumptions'!B12),0)</f>
        <v/>
      </c>
      <c r="Q8" s="74">
        <f>ROUND((P8+Q7*'Assumptions'!B9)*(1-'Assumptions'!B12),0)</f>
        <v/>
      </c>
      <c r="R8" s="74">
        <f>ROUND((Q8+R7*'Assumptions'!B9)*(1-'Assumptions'!B12),0)</f>
        <v/>
      </c>
      <c r="S8" s="74">
        <f>ROUND((R8+S7*'Assumptions'!B9)*(1-'Assumptions'!B12),0)</f>
        <v/>
      </c>
      <c r="T8" s="74">
        <f>ROUND((S8+T7*'Assumptions'!B9)*(1-'Assumptions'!B12),0)</f>
        <v/>
      </c>
      <c r="U8" s="74">
        <f>ROUND((T8+U7*'Assumptions'!B9)*(1-'Assumptions'!B12),0)</f>
        <v/>
      </c>
      <c r="V8" s="74">
        <f>ROUND((U8+V7*'Assumptions'!B9)*(1-'Assumptions'!B12),0)</f>
        <v/>
      </c>
      <c r="W8" s="74">
        <f>ROUND((V8+W7*'Assumptions'!B9)*(1-'Assumptions'!B12),0)</f>
        <v/>
      </c>
      <c r="X8" s="74">
        <f>ROUND((W8+X7*'Assumptions'!B9)*(1-'Assumptions'!B12),0)</f>
        <v/>
      </c>
      <c r="Y8" s="74">
        <f>ROUND((X8+Y7*'Assumptions'!B9)*(1-'Assumptions'!B12),0)</f>
        <v/>
      </c>
    </row>
    <row r="9" ht="16.5" customHeight="1" s="61">
      <c r="A9" s="72" t="inlineStr">
        <is>
          <t xml:space="preserve">  Annual subs (active)</t>
        </is>
      </c>
      <c r="B9" s="74">
        <f>ROUND(B7*(1-'Assumptions'!B9),0)</f>
        <v/>
      </c>
      <c r="C9" s="74">
        <f>ROUND(B9*(1-(1-'Assumptions'!B13)/12)+C7*(1-'Assumptions'!B9),0)</f>
        <v/>
      </c>
      <c r="D9" s="74">
        <f>ROUND(C9*(1-(1-'Assumptions'!B13)/12)+D7*(1-'Assumptions'!B9),0)</f>
        <v/>
      </c>
      <c r="E9" s="74">
        <f>ROUND(D9*(1-(1-'Assumptions'!B13)/12)+E7*(1-'Assumptions'!B9),0)</f>
        <v/>
      </c>
      <c r="F9" s="74">
        <f>ROUND(E9*(1-(1-'Assumptions'!B13)/12)+F7*(1-'Assumptions'!B9),0)</f>
        <v/>
      </c>
      <c r="G9" s="74">
        <f>ROUND(F9*(1-(1-'Assumptions'!B13)/12)+G7*(1-'Assumptions'!B9),0)</f>
        <v/>
      </c>
      <c r="H9" s="74">
        <f>ROUND(G9*(1-(1-'Assumptions'!B13)/12)+H7*(1-'Assumptions'!B9),0)</f>
        <v/>
      </c>
      <c r="I9" s="74">
        <f>ROUND(H9*(1-(1-'Assumptions'!B13)/12)+I7*(1-'Assumptions'!B9),0)</f>
        <v/>
      </c>
      <c r="J9" s="74">
        <f>ROUND(I9*(1-(1-'Assumptions'!B13)/12)+J7*(1-'Assumptions'!B9),0)</f>
        <v/>
      </c>
      <c r="K9" s="74">
        <f>ROUND(J9*(1-(1-'Assumptions'!B13)/12)+K7*(1-'Assumptions'!B9),0)</f>
        <v/>
      </c>
      <c r="L9" s="74">
        <f>ROUND(K9*(1-(1-'Assumptions'!B13)/12)+L7*(1-'Assumptions'!B9),0)</f>
        <v/>
      </c>
      <c r="M9" s="74">
        <f>ROUND(L9*(1-(1-'Assumptions'!B13)/12)+M7*(1-'Assumptions'!B9),0)</f>
        <v/>
      </c>
      <c r="N9" s="74">
        <f>ROUND(M9*(1-(1-'Assumptions'!B13)/12)+N7*(1-'Assumptions'!B9),0)</f>
        <v/>
      </c>
      <c r="O9" s="74">
        <f>ROUND(N9*(1-(1-'Assumptions'!B13)/12)+O7*(1-'Assumptions'!B9),0)</f>
        <v/>
      </c>
      <c r="P9" s="74">
        <f>ROUND(O9*(1-(1-'Assumptions'!B13)/12)+P7*(1-'Assumptions'!B9),0)</f>
        <v/>
      </c>
      <c r="Q9" s="74">
        <f>ROUND(P9*(1-(1-'Assumptions'!B13)/12)+Q7*(1-'Assumptions'!B9),0)</f>
        <v/>
      </c>
      <c r="R9" s="74">
        <f>ROUND(Q9*(1-(1-'Assumptions'!B13)/12)+R7*(1-'Assumptions'!B9),0)</f>
        <v/>
      </c>
      <c r="S9" s="74">
        <f>ROUND(R9*(1-(1-'Assumptions'!B13)/12)+S7*(1-'Assumptions'!B9),0)</f>
        <v/>
      </c>
      <c r="T9" s="74">
        <f>ROUND(S9*(1-(1-'Assumptions'!B13)/12)+T7*(1-'Assumptions'!B9),0)</f>
        <v/>
      </c>
      <c r="U9" s="74">
        <f>ROUND(T9*(1-(1-'Assumptions'!B13)/12)+U7*(1-'Assumptions'!B9),0)</f>
        <v/>
      </c>
      <c r="V9" s="74">
        <f>ROUND(U9*(1-(1-'Assumptions'!B13)/12)+V7*(1-'Assumptions'!B9),0)</f>
        <v/>
      </c>
      <c r="W9" s="74">
        <f>ROUND(V9*(1-(1-'Assumptions'!B13)/12)+W7*(1-'Assumptions'!B9),0)</f>
        <v/>
      </c>
      <c r="X9" s="74">
        <f>ROUND(W9*(1-(1-'Assumptions'!B13)/12)+X7*(1-'Assumptions'!B9),0)</f>
        <v/>
      </c>
      <c r="Y9" s="74">
        <f>ROUND(X9*(1-(1-'Assumptions'!B13)/12)+Y7*(1-'Assumptions'!B9),0)</f>
        <v/>
      </c>
    </row>
    <row r="10" ht="16.5" customHeight="1" s="61">
      <c r="A10" s="72" t="inlineStr">
        <is>
          <t xml:space="preserve">  Total paying users</t>
        </is>
      </c>
      <c r="B10" s="75">
        <f>B8+B9</f>
        <v/>
      </c>
      <c r="C10" s="75">
        <f>C8+C9</f>
        <v/>
      </c>
      <c r="D10" s="75">
        <f>D8+D9</f>
        <v/>
      </c>
      <c r="E10" s="75">
        <f>E8+E9</f>
        <v/>
      </c>
      <c r="F10" s="75">
        <f>F8+F9</f>
        <v/>
      </c>
      <c r="G10" s="75">
        <f>G8+G9</f>
        <v/>
      </c>
      <c r="H10" s="75">
        <f>H8+H9</f>
        <v/>
      </c>
      <c r="I10" s="75">
        <f>I8+I9</f>
        <v/>
      </c>
      <c r="J10" s="75">
        <f>J8+J9</f>
        <v/>
      </c>
      <c r="K10" s="75">
        <f>K8+K9</f>
        <v/>
      </c>
      <c r="L10" s="75">
        <f>L8+L9</f>
        <v/>
      </c>
      <c r="M10" s="75">
        <f>M8+M9</f>
        <v/>
      </c>
      <c r="N10" s="75">
        <f>N8+N9</f>
        <v/>
      </c>
      <c r="O10" s="75">
        <f>O8+O9</f>
        <v/>
      </c>
      <c r="P10" s="75">
        <f>P8+P9</f>
        <v/>
      </c>
      <c r="Q10" s="75">
        <f>Q8+Q9</f>
        <v/>
      </c>
      <c r="R10" s="75">
        <f>R8+R9</f>
        <v/>
      </c>
      <c r="S10" s="75">
        <f>S8+S9</f>
        <v/>
      </c>
      <c r="T10" s="75">
        <f>T8+T9</f>
        <v/>
      </c>
      <c r="U10" s="75">
        <f>U8+U9</f>
        <v/>
      </c>
      <c r="V10" s="75">
        <f>V8+V9</f>
        <v/>
      </c>
      <c r="W10" s="75">
        <f>W8+W9</f>
        <v/>
      </c>
      <c r="X10" s="75">
        <f>X8+X9</f>
        <v/>
      </c>
      <c r="Y10" s="75">
        <f>Y8+Y9</f>
        <v/>
      </c>
    </row>
    <row r="11" ht="19.5" customHeight="1" s="61">
      <c r="A11" s="64" t="inlineStr">
        <is>
          <t>REVENUE</t>
        </is>
      </c>
      <c r="B11" s="65" t="n"/>
      <c r="C11" s="65" t="n"/>
      <c r="D11" s="65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</row>
    <row r="12" ht="16.5" customHeight="1" s="61">
      <c r="A12" s="72" t="inlineStr">
        <is>
          <t xml:space="preserve">  Monthly sub revenue</t>
        </is>
      </c>
      <c r="B12" s="76">
        <f>B8*'Assumptions'!B4</f>
        <v/>
      </c>
      <c r="C12" s="76">
        <f>C8*'Assumptions'!B4</f>
        <v/>
      </c>
      <c r="D12" s="76">
        <f>D8*'Assumptions'!B4</f>
        <v/>
      </c>
      <c r="E12" s="76">
        <f>E8*'Assumptions'!B4</f>
        <v/>
      </c>
      <c r="F12" s="76">
        <f>F8*'Assumptions'!B4</f>
        <v/>
      </c>
      <c r="G12" s="76">
        <f>G8*'Assumptions'!B4</f>
        <v/>
      </c>
      <c r="H12" s="76">
        <f>H8*'Assumptions'!B4</f>
        <v/>
      </c>
      <c r="I12" s="76">
        <f>I8*'Assumptions'!B4</f>
        <v/>
      </c>
      <c r="J12" s="76">
        <f>J8*'Assumptions'!B4</f>
        <v/>
      </c>
      <c r="K12" s="76">
        <f>K8*'Assumptions'!B4</f>
        <v/>
      </c>
      <c r="L12" s="76">
        <f>L8*'Assumptions'!B4</f>
        <v/>
      </c>
      <c r="M12" s="76">
        <f>M8*'Assumptions'!B4</f>
        <v/>
      </c>
      <c r="N12" s="76">
        <f>N8*'Assumptions'!B4</f>
        <v/>
      </c>
      <c r="O12" s="76">
        <f>O8*'Assumptions'!B4</f>
        <v/>
      </c>
      <c r="P12" s="76">
        <f>P8*'Assumptions'!B4</f>
        <v/>
      </c>
      <c r="Q12" s="76">
        <f>Q8*'Assumptions'!B4</f>
        <v/>
      </c>
      <c r="R12" s="76">
        <f>R8*'Assumptions'!B4</f>
        <v/>
      </c>
      <c r="S12" s="76">
        <f>S8*'Assumptions'!B4</f>
        <v/>
      </c>
      <c r="T12" s="76">
        <f>T8*'Assumptions'!B4</f>
        <v/>
      </c>
      <c r="U12" s="76">
        <f>U8*'Assumptions'!B4</f>
        <v/>
      </c>
      <c r="V12" s="76">
        <f>V8*'Assumptions'!B4</f>
        <v/>
      </c>
      <c r="W12" s="76">
        <f>W8*'Assumptions'!B4</f>
        <v/>
      </c>
      <c r="X12" s="76">
        <f>X8*'Assumptions'!B4</f>
        <v/>
      </c>
      <c r="Y12" s="76">
        <f>Y8*'Assumptions'!B4</f>
        <v/>
      </c>
    </row>
    <row r="13" ht="16.5" customHeight="1" s="61">
      <c r="A13" s="72" t="inlineStr">
        <is>
          <t xml:space="preserve">  Annual sub revenue (1/12)</t>
        </is>
      </c>
      <c r="B13" s="76">
        <f>B9*'Assumptions'!B5/12</f>
        <v/>
      </c>
      <c r="C13" s="76">
        <f>C9*'Assumptions'!B5/12</f>
        <v/>
      </c>
      <c r="D13" s="76">
        <f>D9*'Assumptions'!B5/12</f>
        <v/>
      </c>
      <c r="E13" s="76">
        <f>E9*'Assumptions'!B5/12</f>
        <v/>
      </c>
      <c r="F13" s="76">
        <f>F9*'Assumptions'!B5/12</f>
        <v/>
      </c>
      <c r="G13" s="76">
        <f>G9*'Assumptions'!B5/12</f>
        <v/>
      </c>
      <c r="H13" s="76">
        <f>H9*'Assumptions'!B5/12</f>
        <v/>
      </c>
      <c r="I13" s="76">
        <f>I9*'Assumptions'!B5/12</f>
        <v/>
      </c>
      <c r="J13" s="76">
        <f>J9*'Assumptions'!B5/12</f>
        <v/>
      </c>
      <c r="K13" s="76">
        <f>K9*'Assumptions'!B5/12</f>
        <v/>
      </c>
      <c r="L13" s="76">
        <f>L9*'Assumptions'!B5/12</f>
        <v/>
      </c>
      <c r="M13" s="76">
        <f>M9*'Assumptions'!B5/12</f>
        <v/>
      </c>
      <c r="N13" s="76">
        <f>N9*'Assumptions'!B5/12</f>
        <v/>
      </c>
      <c r="O13" s="76">
        <f>O9*'Assumptions'!B5/12</f>
        <v/>
      </c>
      <c r="P13" s="76">
        <f>P9*'Assumptions'!B5/12</f>
        <v/>
      </c>
      <c r="Q13" s="76">
        <f>Q9*'Assumptions'!B5/12</f>
        <v/>
      </c>
      <c r="R13" s="76">
        <f>R9*'Assumptions'!B5/12</f>
        <v/>
      </c>
      <c r="S13" s="76">
        <f>S9*'Assumptions'!B5/12</f>
        <v/>
      </c>
      <c r="T13" s="76">
        <f>T9*'Assumptions'!B5/12</f>
        <v/>
      </c>
      <c r="U13" s="76">
        <f>U9*'Assumptions'!B5/12</f>
        <v/>
      </c>
      <c r="V13" s="76">
        <f>V9*'Assumptions'!B5/12</f>
        <v/>
      </c>
      <c r="W13" s="76">
        <f>W9*'Assumptions'!B5/12</f>
        <v/>
      </c>
      <c r="X13" s="76">
        <f>X9*'Assumptions'!B5/12</f>
        <v/>
      </c>
      <c r="Y13" s="76">
        <f>Y9*'Assumptions'!B5/12</f>
        <v/>
      </c>
    </row>
    <row r="14" ht="16.5" customHeight="1" s="61">
      <c r="A14" s="72" t="inlineStr">
        <is>
          <t xml:space="preserve">  Gross revenue</t>
        </is>
      </c>
      <c r="B14" s="77">
        <f>B12+B13</f>
        <v/>
      </c>
      <c r="C14" s="77">
        <f>C12+C13</f>
        <v/>
      </c>
      <c r="D14" s="77">
        <f>D12+D13</f>
        <v/>
      </c>
      <c r="E14" s="77">
        <f>E12+E13</f>
        <v/>
      </c>
      <c r="F14" s="77">
        <f>F12+F13</f>
        <v/>
      </c>
      <c r="G14" s="77">
        <f>G12+G13</f>
        <v/>
      </c>
      <c r="H14" s="77">
        <f>H12+H13</f>
        <v/>
      </c>
      <c r="I14" s="77">
        <f>I12+I13</f>
        <v/>
      </c>
      <c r="J14" s="77">
        <f>J12+J13</f>
        <v/>
      </c>
      <c r="K14" s="77">
        <f>K12+K13</f>
        <v/>
      </c>
      <c r="L14" s="77">
        <f>L12+L13</f>
        <v/>
      </c>
      <c r="M14" s="77">
        <f>M12+M13</f>
        <v/>
      </c>
      <c r="N14" s="77">
        <f>N12+N13</f>
        <v/>
      </c>
      <c r="O14" s="77">
        <f>O12+O13</f>
        <v/>
      </c>
      <c r="P14" s="77">
        <f>P12+P13</f>
        <v/>
      </c>
      <c r="Q14" s="77">
        <f>Q12+Q13</f>
        <v/>
      </c>
      <c r="R14" s="77">
        <f>R12+R13</f>
        <v/>
      </c>
      <c r="S14" s="77">
        <f>S12+S13</f>
        <v/>
      </c>
      <c r="T14" s="77">
        <f>T12+T13</f>
        <v/>
      </c>
      <c r="U14" s="77">
        <f>U12+U13</f>
        <v/>
      </c>
      <c r="V14" s="77">
        <f>V12+V13</f>
        <v/>
      </c>
      <c r="W14" s="77">
        <f>W12+W13</f>
        <v/>
      </c>
      <c r="X14" s="77">
        <f>X12+X13</f>
        <v/>
      </c>
      <c r="Y14" s="77">
        <f>Y12+Y13</f>
        <v/>
      </c>
    </row>
    <row r="15" ht="16.5" customHeight="1" s="61">
      <c r="A15" s="72" t="inlineStr">
        <is>
          <t xml:space="preserve">  Stripe fees</t>
        </is>
      </c>
      <c r="B15" s="78">
        <f>-(B14*'Assumptions'!B6+'Assumptions'!B7*B10)</f>
        <v/>
      </c>
      <c r="C15" s="78">
        <f>-(C14*'Assumptions'!B6+'Assumptions'!B7*C10)</f>
        <v/>
      </c>
      <c r="D15" s="78">
        <f>-(D14*'Assumptions'!B6+'Assumptions'!B7*D10)</f>
        <v/>
      </c>
      <c r="E15" s="78">
        <f>-(E14*'Assumptions'!B6+'Assumptions'!B7*E10)</f>
        <v/>
      </c>
      <c r="F15" s="78">
        <f>-(F14*'Assumptions'!B6+'Assumptions'!B7*F10)</f>
        <v/>
      </c>
      <c r="G15" s="78">
        <f>-(G14*'Assumptions'!B6+'Assumptions'!B7*G10)</f>
        <v/>
      </c>
      <c r="H15" s="78">
        <f>-(H14*'Assumptions'!B6+'Assumptions'!B7*H10)</f>
        <v/>
      </c>
      <c r="I15" s="78">
        <f>-(I14*'Assumptions'!B6+'Assumptions'!B7*I10)</f>
        <v/>
      </c>
      <c r="J15" s="78">
        <f>-(J14*'Assumptions'!B6+'Assumptions'!B7*J10)</f>
        <v/>
      </c>
      <c r="K15" s="78">
        <f>-(K14*'Assumptions'!B6+'Assumptions'!B7*K10)</f>
        <v/>
      </c>
      <c r="L15" s="78">
        <f>-(L14*'Assumptions'!B6+'Assumptions'!B7*L10)</f>
        <v/>
      </c>
      <c r="M15" s="78">
        <f>-(M14*'Assumptions'!B6+'Assumptions'!B7*M10)</f>
        <v/>
      </c>
      <c r="N15" s="78">
        <f>-(N14*'Assumptions'!B6+'Assumptions'!B7*N10)</f>
        <v/>
      </c>
      <c r="O15" s="78">
        <f>-(O14*'Assumptions'!B6+'Assumptions'!B7*O10)</f>
        <v/>
      </c>
      <c r="P15" s="78">
        <f>-(P14*'Assumptions'!B6+'Assumptions'!B7*P10)</f>
        <v/>
      </c>
      <c r="Q15" s="78">
        <f>-(Q14*'Assumptions'!B6+'Assumptions'!B7*Q10)</f>
        <v/>
      </c>
      <c r="R15" s="78">
        <f>-(R14*'Assumptions'!B6+'Assumptions'!B7*R10)</f>
        <v/>
      </c>
      <c r="S15" s="78">
        <f>-(S14*'Assumptions'!B6+'Assumptions'!B7*S10)</f>
        <v/>
      </c>
      <c r="T15" s="78">
        <f>-(T14*'Assumptions'!B6+'Assumptions'!B7*T10)</f>
        <v/>
      </c>
      <c r="U15" s="78">
        <f>-(U14*'Assumptions'!B6+'Assumptions'!B7*U10)</f>
        <v/>
      </c>
      <c r="V15" s="78">
        <f>-(V14*'Assumptions'!B6+'Assumptions'!B7*V10)</f>
        <v/>
      </c>
      <c r="W15" s="78">
        <f>-(W14*'Assumptions'!B6+'Assumptions'!B7*W10)</f>
        <v/>
      </c>
      <c r="X15" s="78">
        <f>-(X14*'Assumptions'!B6+'Assumptions'!B7*X10)</f>
        <v/>
      </c>
      <c r="Y15" s="78">
        <f>-(Y14*'Assumptions'!B6+'Assumptions'!B7*Y10)</f>
        <v/>
      </c>
    </row>
    <row r="16" ht="16.5" customHeight="1" s="61">
      <c r="A16" s="72" t="inlineStr">
        <is>
          <t xml:space="preserve">  Net revenue</t>
        </is>
      </c>
      <c r="B16" s="77">
        <f>B14+B15</f>
        <v/>
      </c>
      <c r="C16" s="77">
        <f>C14+C15</f>
        <v/>
      </c>
      <c r="D16" s="77">
        <f>D14+D15</f>
        <v/>
      </c>
      <c r="E16" s="77">
        <f>E14+E15</f>
        <v/>
      </c>
      <c r="F16" s="77">
        <f>F14+F15</f>
        <v/>
      </c>
      <c r="G16" s="77">
        <f>G14+G15</f>
        <v/>
      </c>
      <c r="H16" s="77">
        <f>H14+H15</f>
        <v/>
      </c>
      <c r="I16" s="77">
        <f>I14+I15</f>
        <v/>
      </c>
      <c r="J16" s="77">
        <f>J14+J15</f>
        <v/>
      </c>
      <c r="K16" s="77">
        <f>K14+K15</f>
        <v/>
      </c>
      <c r="L16" s="77">
        <f>L14+L15</f>
        <v/>
      </c>
      <c r="M16" s="77">
        <f>M14+M15</f>
        <v/>
      </c>
      <c r="N16" s="77">
        <f>N14+N15</f>
        <v/>
      </c>
      <c r="O16" s="77">
        <f>O14+O15</f>
        <v/>
      </c>
      <c r="P16" s="77">
        <f>P14+P15</f>
        <v/>
      </c>
      <c r="Q16" s="77">
        <f>Q14+Q15</f>
        <v/>
      </c>
      <c r="R16" s="77">
        <f>R14+R15</f>
        <v/>
      </c>
      <c r="S16" s="77">
        <f>S14+S15</f>
        <v/>
      </c>
      <c r="T16" s="77">
        <f>T14+T15</f>
        <v/>
      </c>
      <c r="U16" s="77">
        <f>U14+U15</f>
        <v/>
      </c>
      <c r="V16" s="77">
        <f>V14+V15</f>
        <v/>
      </c>
      <c r="W16" s="77">
        <f>W14+W15</f>
        <v/>
      </c>
      <c r="X16" s="77">
        <f>X14+X15</f>
        <v/>
      </c>
      <c r="Y16" s="77">
        <f>Y14+Y15</f>
        <v/>
      </c>
    </row>
    <row r="17" ht="19.5" customHeight="1" s="61">
      <c r="A17" s="64" t="inlineStr">
        <is>
          <t>COSTS</t>
        </is>
      </c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</row>
    <row r="18" ht="16.5" customHeight="1" s="61">
      <c r="A18" s="72" t="inlineStr">
        <is>
          <t xml:space="preserve">  Fixed monthly costs</t>
        </is>
      </c>
      <c r="B18" s="78">
        <f>-('Assumptions'!B18+'Assumptions'!B19+'Assumptions'!B20+'Assumptions'!B21+'Assumptions'!B22+'Assumptions'!B23+'Assumptions'!B24+'Assumptions'!B25)</f>
        <v/>
      </c>
      <c r="C18" s="78">
        <f>-('Assumptions'!B18+'Assumptions'!B19+'Assumptions'!B20+'Assumptions'!B21+'Assumptions'!B22+'Assumptions'!B23+'Assumptions'!B24+'Assumptions'!B25)</f>
        <v/>
      </c>
      <c r="D18" s="78">
        <f>-('Assumptions'!B18+'Assumptions'!B19+'Assumptions'!B20+'Assumptions'!B21+'Assumptions'!B22+'Assumptions'!B23+'Assumptions'!B24+'Assumptions'!B25)</f>
        <v/>
      </c>
      <c r="E18" s="78">
        <f>-('Assumptions'!B18+'Assumptions'!B19+'Assumptions'!B20+'Assumptions'!B21+'Assumptions'!B22+'Assumptions'!B23+'Assumptions'!B24+'Assumptions'!B25)</f>
        <v/>
      </c>
      <c r="F18" s="78">
        <f>-('Assumptions'!B18+'Assumptions'!B19+'Assumptions'!B20+'Assumptions'!B21+'Assumptions'!B22+'Assumptions'!B23+'Assumptions'!B24+'Assumptions'!B25)</f>
        <v/>
      </c>
      <c r="G18" s="78">
        <f>-('Assumptions'!B18+'Assumptions'!B19+'Assumptions'!B20+'Assumptions'!B21+'Assumptions'!B22+'Assumptions'!B23+'Assumptions'!B24+'Assumptions'!B25)</f>
        <v/>
      </c>
      <c r="H18" s="78">
        <f>-('Assumptions'!B18+'Assumptions'!B19+'Assumptions'!B20+'Assumptions'!B21+'Assumptions'!B22+'Assumptions'!B23+'Assumptions'!B24+'Assumptions'!B25)</f>
        <v/>
      </c>
      <c r="I18" s="78">
        <f>-('Assumptions'!B18+'Assumptions'!B19+'Assumptions'!B20+'Assumptions'!B21+'Assumptions'!B22+'Assumptions'!B23+'Assumptions'!B24+'Assumptions'!B25)</f>
        <v/>
      </c>
      <c r="J18" s="78">
        <f>-('Assumptions'!B18+'Assumptions'!B19+'Assumptions'!B20+'Assumptions'!B21+'Assumptions'!B22+'Assumptions'!B23+'Assumptions'!B24+'Assumptions'!B25)</f>
        <v/>
      </c>
      <c r="K18" s="78">
        <f>-('Assumptions'!B18+'Assumptions'!B19+'Assumptions'!B20+'Assumptions'!B21+'Assumptions'!B22+'Assumptions'!B23+'Assumptions'!B24+'Assumptions'!B25)</f>
        <v/>
      </c>
      <c r="L18" s="78">
        <f>-('Assumptions'!B18+'Assumptions'!B19+'Assumptions'!B20+'Assumptions'!B21+'Assumptions'!B22+'Assumptions'!B23+'Assumptions'!B24+'Assumptions'!B25)</f>
        <v/>
      </c>
      <c r="M18" s="78">
        <f>-('Assumptions'!B18+'Assumptions'!B19+'Assumptions'!B20+'Assumptions'!B21+'Assumptions'!B22+'Assumptions'!B23+'Assumptions'!B24+'Assumptions'!B25)</f>
        <v/>
      </c>
      <c r="N18" s="78">
        <f>-('Assumptions'!B18+'Assumptions'!B19+'Assumptions'!B20+'Assumptions'!B21+'Assumptions'!B22+'Assumptions'!B23+'Assumptions'!B24+'Assumptions'!B25)</f>
        <v/>
      </c>
      <c r="O18" s="78">
        <f>-('Assumptions'!B18+'Assumptions'!B19+'Assumptions'!B20+'Assumptions'!B21+'Assumptions'!B22+'Assumptions'!B23+'Assumptions'!B24+'Assumptions'!B25)</f>
        <v/>
      </c>
      <c r="P18" s="78">
        <f>-('Assumptions'!B18+'Assumptions'!B19+'Assumptions'!B20+'Assumptions'!B21+'Assumptions'!B22+'Assumptions'!B23+'Assumptions'!B24+'Assumptions'!B25)</f>
        <v/>
      </c>
      <c r="Q18" s="78">
        <f>-('Assumptions'!B18+'Assumptions'!B19+'Assumptions'!B20+'Assumptions'!B21+'Assumptions'!B22+'Assumptions'!B23+'Assumptions'!B24+'Assumptions'!B25)</f>
        <v/>
      </c>
      <c r="R18" s="78">
        <f>-('Assumptions'!B18+'Assumptions'!B19+'Assumptions'!B20+'Assumptions'!B21+'Assumptions'!B22+'Assumptions'!B23+'Assumptions'!B24+'Assumptions'!B25)</f>
        <v/>
      </c>
      <c r="S18" s="78">
        <f>-('Assumptions'!B18+'Assumptions'!B19+'Assumptions'!B20+'Assumptions'!B21+'Assumptions'!B22+'Assumptions'!B23+'Assumptions'!B24+'Assumptions'!B25)</f>
        <v/>
      </c>
      <c r="T18" s="78">
        <f>-('Assumptions'!B18+'Assumptions'!B19+'Assumptions'!B20+'Assumptions'!B21+'Assumptions'!B22+'Assumptions'!B23+'Assumptions'!B24+'Assumptions'!B25)</f>
        <v/>
      </c>
      <c r="U18" s="78">
        <f>-('Assumptions'!B18+'Assumptions'!B19+'Assumptions'!B20+'Assumptions'!B21+'Assumptions'!B22+'Assumptions'!B23+'Assumptions'!B24+'Assumptions'!B25)</f>
        <v/>
      </c>
      <c r="V18" s="78">
        <f>-('Assumptions'!B18+'Assumptions'!B19+'Assumptions'!B20+'Assumptions'!B21+'Assumptions'!B22+'Assumptions'!B23+'Assumptions'!B24+'Assumptions'!B25)</f>
        <v/>
      </c>
      <c r="W18" s="78">
        <f>-('Assumptions'!B18+'Assumptions'!B19+'Assumptions'!B20+'Assumptions'!B21+'Assumptions'!B22+'Assumptions'!B23+'Assumptions'!B24+'Assumptions'!B25)</f>
        <v/>
      </c>
      <c r="X18" s="78">
        <f>-('Assumptions'!B18+'Assumptions'!B19+'Assumptions'!B20+'Assumptions'!B21+'Assumptions'!B22+'Assumptions'!B23+'Assumptions'!B24+'Assumptions'!B25)</f>
        <v/>
      </c>
      <c r="Y18" s="78">
        <f>-('Assumptions'!B18+'Assumptions'!B19+'Assumptions'!B20+'Assumptions'!B21+'Assumptions'!B22+'Assumptions'!B23+'Assumptions'!B24+'Assumptions'!B25)</f>
        <v/>
      </c>
    </row>
    <row r="19" ht="19.5" customHeight="1" s="61">
      <c r="A19" s="64" t="inlineStr">
        <is>
          <t>PROFIT</t>
        </is>
      </c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</row>
    <row r="20" ht="16.5" customHeight="1" s="61">
      <c r="A20" s="72" t="inlineStr">
        <is>
          <t xml:space="preserve">  Net profit / loss</t>
        </is>
      </c>
      <c r="B20" s="79">
        <f>B16+B18</f>
        <v/>
      </c>
      <c r="C20" s="79">
        <f>C16+C18</f>
        <v/>
      </c>
      <c r="D20" s="79">
        <f>D16+D18</f>
        <v/>
      </c>
      <c r="E20" s="79">
        <f>E16+E18</f>
        <v/>
      </c>
      <c r="F20" s="79">
        <f>F16+F18</f>
        <v/>
      </c>
      <c r="G20" s="79">
        <f>G16+G18</f>
        <v/>
      </c>
      <c r="H20" s="79">
        <f>H16+H18</f>
        <v/>
      </c>
      <c r="I20" s="79">
        <f>I16+I18</f>
        <v/>
      </c>
      <c r="J20" s="79">
        <f>J16+J18</f>
        <v/>
      </c>
      <c r="K20" s="79">
        <f>K16+K18</f>
        <v/>
      </c>
      <c r="L20" s="80">
        <f>L16+L18</f>
        <v/>
      </c>
      <c r="M20" s="80">
        <f>M16+M18</f>
        <v/>
      </c>
      <c r="N20" s="80">
        <f>N16+N18</f>
        <v/>
      </c>
      <c r="O20" s="80">
        <f>O16+O18</f>
        <v/>
      </c>
      <c r="P20" s="80">
        <f>P16+P18</f>
        <v/>
      </c>
      <c r="Q20" s="80">
        <f>Q16+Q18</f>
        <v/>
      </c>
      <c r="R20" s="80">
        <f>R16+R18</f>
        <v/>
      </c>
      <c r="S20" s="80">
        <f>S16+S18</f>
        <v/>
      </c>
      <c r="T20" s="80">
        <f>T16+T18</f>
        <v/>
      </c>
      <c r="U20" s="80">
        <f>U16+U18</f>
        <v/>
      </c>
      <c r="V20" s="80">
        <f>V16+V18</f>
        <v/>
      </c>
      <c r="W20" s="80">
        <f>W16+W18</f>
        <v/>
      </c>
      <c r="X20" s="80">
        <f>X16+X18</f>
        <v/>
      </c>
      <c r="Y20" s="80">
        <f>Y16+Y18</f>
        <v/>
      </c>
    </row>
    <row r="21" ht="16.5" customHeight="1" s="61">
      <c r="A21" s="72" t="inlineStr">
        <is>
          <t xml:space="preserve">  Cumulative net profit</t>
        </is>
      </c>
      <c r="B21" s="81">
        <f>B20</f>
        <v/>
      </c>
      <c r="C21" s="77">
        <f>B21+C20</f>
        <v/>
      </c>
      <c r="D21" s="77">
        <f>C21+D20</f>
        <v/>
      </c>
      <c r="E21" s="77">
        <f>D21+E20</f>
        <v/>
      </c>
      <c r="F21" s="77">
        <f>E21+F20</f>
        <v/>
      </c>
      <c r="G21" s="77">
        <f>F21+G20</f>
        <v/>
      </c>
      <c r="H21" s="77">
        <f>G21+H20</f>
        <v/>
      </c>
      <c r="I21" s="77">
        <f>H21+I20</f>
        <v/>
      </c>
      <c r="J21" s="77">
        <f>I21+J20</f>
        <v/>
      </c>
      <c r="K21" s="77">
        <f>J21+K20</f>
        <v/>
      </c>
      <c r="L21" s="77">
        <f>K21+L20</f>
        <v/>
      </c>
      <c r="M21" s="77">
        <f>L21+M20</f>
        <v/>
      </c>
      <c r="N21" s="77">
        <f>M21+N20</f>
        <v/>
      </c>
      <c r="O21" s="77">
        <f>N21+O20</f>
        <v/>
      </c>
      <c r="P21" s="77">
        <f>O21+P20</f>
        <v/>
      </c>
      <c r="Q21" s="77">
        <f>P21+Q20</f>
        <v/>
      </c>
      <c r="R21" s="77">
        <f>Q21+R20</f>
        <v/>
      </c>
      <c r="S21" s="77">
        <f>R21+S20</f>
        <v/>
      </c>
      <c r="T21" s="77">
        <f>S21+T20</f>
        <v/>
      </c>
      <c r="U21" s="77">
        <f>T21+U20</f>
        <v/>
      </c>
      <c r="V21" s="77">
        <f>U21+V20</f>
        <v/>
      </c>
      <c r="W21" s="77">
        <f>V21+W20</f>
        <v/>
      </c>
      <c r="X21" s="77">
        <f>W21+X20</f>
        <v/>
      </c>
      <c r="Y21" s="77">
        <f>X21+Y20</f>
        <v/>
      </c>
    </row>
    <row r="22" ht="16.5" customHeight="1" s="61">
      <c r="A22" s="72" t="inlineStr">
        <is>
          <t>MRR (net revenue)</t>
        </is>
      </c>
      <c r="B22" s="82">
        <f>B16</f>
        <v/>
      </c>
      <c r="C22" s="82">
        <f>C16</f>
        <v/>
      </c>
      <c r="D22" s="82">
        <f>D16</f>
        <v/>
      </c>
      <c r="E22" s="82">
        <f>E16</f>
        <v/>
      </c>
      <c r="F22" s="82">
        <f>F16</f>
        <v/>
      </c>
      <c r="G22" s="82">
        <f>G16</f>
        <v/>
      </c>
      <c r="H22" s="82">
        <f>H16</f>
        <v/>
      </c>
      <c r="I22" s="82">
        <f>I16</f>
        <v/>
      </c>
      <c r="J22" s="82">
        <f>J16</f>
        <v/>
      </c>
      <c r="K22" s="82">
        <f>K16</f>
        <v/>
      </c>
      <c r="L22" s="82">
        <f>L16</f>
        <v/>
      </c>
      <c r="M22" s="82">
        <f>M16</f>
        <v/>
      </c>
      <c r="N22" s="82">
        <f>N16</f>
        <v/>
      </c>
      <c r="O22" s="82">
        <f>O16</f>
        <v/>
      </c>
      <c r="P22" s="82">
        <f>P16</f>
        <v/>
      </c>
      <c r="Q22" s="82">
        <f>Q16</f>
        <v/>
      </c>
      <c r="R22" s="82">
        <f>R16</f>
        <v/>
      </c>
      <c r="S22" s="82">
        <f>S16</f>
        <v/>
      </c>
      <c r="T22" s="82">
        <f>T16</f>
        <v/>
      </c>
      <c r="U22" s="82">
        <f>U16</f>
        <v/>
      </c>
      <c r="V22" s="82">
        <f>V16</f>
        <v/>
      </c>
      <c r="W22" s="82">
        <f>W16</f>
        <v/>
      </c>
      <c r="X22" s="82">
        <f>X16</f>
        <v/>
      </c>
      <c r="Y22" s="82">
        <f>Y16</f>
        <v/>
      </c>
    </row>
    <row r="23" ht="16.5" customHeight="1" s="61">
      <c r="A23" s="72" t="inlineStr">
        <is>
          <t>ARR run-rate</t>
        </is>
      </c>
      <c r="B23" s="82">
        <f>B22*12</f>
        <v/>
      </c>
      <c r="C23" s="82">
        <f>C22*12</f>
        <v/>
      </c>
      <c r="D23" s="82">
        <f>D22*12</f>
        <v/>
      </c>
      <c r="E23" s="82">
        <f>E22*12</f>
        <v/>
      </c>
      <c r="F23" s="82">
        <f>F22*12</f>
        <v/>
      </c>
      <c r="G23" s="82">
        <f>G22*12</f>
        <v/>
      </c>
      <c r="H23" s="82">
        <f>H22*12</f>
        <v/>
      </c>
      <c r="I23" s="82">
        <f>I22*12</f>
        <v/>
      </c>
      <c r="J23" s="82">
        <f>J22*12</f>
        <v/>
      </c>
      <c r="K23" s="82">
        <f>K22*12</f>
        <v/>
      </c>
      <c r="L23" s="82">
        <f>L22*12</f>
        <v/>
      </c>
      <c r="M23" s="82">
        <f>M22*12</f>
        <v/>
      </c>
      <c r="N23" s="82">
        <f>N22*12</f>
        <v/>
      </c>
      <c r="O23" s="82">
        <f>O22*12</f>
        <v/>
      </c>
      <c r="P23" s="82">
        <f>P22*12</f>
        <v/>
      </c>
      <c r="Q23" s="82">
        <f>Q22*12</f>
        <v/>
      </c>
      <c r="R23" s="82">
        <f>R22*12</f>
        <v/>
      </c>
      <c r="S23" s="82">
        <f>S22*12</f>
        <v/>
      </c>
      <c r="T23" s="82">
        <f>T22*12</f>
        <v/>
      </c>
      <c r="U23" s="82">
        <f>U22*12</f>
        <v/>
      </c>
      <c r="V23" s="82">
        <f>V22*12</f>
        <v/>
      </c>
      <c r="W23" s="82">
        <f>W22*12</f>
        <v/>
      </c>
      <c r="X23" s="82">
        <f>X22*12</f>
        <v/>
      </c>
      <c r="Y23" s="82">
        <f>Y22*12</f>
        <v/>
      </c>
    </row>
  </sheetData>
  <mergeCells count="6">
    <mergeCell ref="A19:Y19"/>
    <mergeCell ref="A11:Y11"/>
    <mergeCell ref="A1:Y1"/>
    <mergeCell ref="A6:Y6"/>
    <mergeCell ref="A17:Y17"/>
    <mergeCell ref="A3:Y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60" min="1" max="1"/>
    <col width="15" customWidth="1" style="60" min="2" max="4"/>
  </cols>
  <sheetData>
    <row r="1" ht="33.75" customHeight="1" s="61">
      <c r="A1" s="62" t="inlineStr">
        <is>
          <t>SOULGAINZ  ·  Scenario Analysis  (AUD)</t>
        </is>
      </c>
    </row>
    <row r="2" ht="21.75" customHeight="1" s="61">
      <c r="A2" s="63" t="inlineStr">
        <is>
          <t>Metric</t>
        </is>
      </c>
      <c r="B2" s="83" t="inlineStr">
        <is>
          <t>🐻 BEAR</t>
        </is>
      </c>
      <c r="C2" s="84" t="inlineStr">
        <is>
          <t>📊 BASE</t>
        </is>
      </c>
      <c r="D2" s="85" t="inlineStr">
        <is>
          <t>🚀 BULL</t>
        </is>
      </c>
    </row>
    <row r="3" ht="19.5" customHeight="1" s="61">
      <c r="A3" s="64" t="inlineStr">
        <is>
          <t>ASSUMPTIONS</t>
        </is>
      </c>
      <c r="B3" s="65" t="n"/>
      <c r="C3" s="65" t="n"/>
      <c r="D3" s="65" t="n"/>
    </row>
    <row r="4" ht="18" customHeight="1" s="61">
      <c r="A4" s="86" t="inlineStr">
        <is>
          <t>Month 1 signups</t>
        </is>
      </c>
      <c r="B4" s="87" t="n">
        <v>30</v>
      </c>
      <c r="C4" s="88" t="n">
        <v>80</v>
      </c>
      <c r="D4" s="89" t="n">
        <v>200</v>
      </c>
    </row>
    <row r="5" ht="18" customHeight="1" s="61">
      <c r="A5" s="86" t="inlineStr">
        <is>
          <t>Monthly signup growth</t>
        </is>
      </c>
      <c r="B5" s="90" t="n">
        <v>0.05</v>
      </c>
      <c r="C5" s="91" t="n">
        <v>0.15</v>
      </c>
      <c r="D5" s="92" t="n">
        <v>0.3</v>
      </c>
    </row>
    <row r="6" ht="18" customHeight="1" s="61">
      <c r="A6" s="86" t="inlineStr">
        <is>
          <t>Free → paid conversion</t>
        </is>
      </c>
      <c r="B6" s="90" t="n">
        <v>0.02</v>
      </c>
      <c r="C6" s="91" t="n">
        <v>0.04</v>
      </c>
      <c r="D6" s="92" t="n">
        <v>0.06</v>
      </c>
    </row>
    <row r="7" ht="18" customHeight="1" s="61">
      <c r="A7" s="86" t="inlineStr">
        <is>
          <t>Monthly churn</t>
        </is>
      </c>
      <c r="B7" s="90" t="n">
        <v>0.1</v>
      </c>
      <c r="C7" s="91" t="n">
        <v>0.06</v>
      </c>
      <c r="D7" s="92" t="n">
        <v>0.04</v>
      </c>
    </row>
    <row r="8" ht="19.5" customHeight="1" s="61">
      <c r="A8" s="64" t="inlineStr">
        <is>
          <t>AT 6 MONTHS</t>
        </is>
      </c>
      <c r="B8" s="65" t="n"/>
      <c r="C8" s="65" t="n"/>
      <c r="D8" s="65" t="n"/>
    </row>
    <row r="9" ht="18" customHeight="1" s="61">
      <c r="A9" s="86" t="inlineStr">
        <is>
          <t>Total paying users</t>
        </is>
      </c>
      <c r="B9" s="87" t="n">
        <v>8</v>
      </c>
      <c r="C9" s="88" t="n">
        <v>42</v>
      </c>
      <c r="D9" s="89" t="n">
        <v>130</v>
      </c>
    </row>
    <row r="10" ht="18" customHeight="1" s="61">
      <c r="A10" s="86" t="inlineStr">
        <is>
          <t>MRR (net, AUD)</t>
        </is>
      </c>
      <c r="B10" s="93" t="n">
        <v>90</v>
      </c>
      <c r="C10" s="94" t="n">
        <v>530</v>
      </c>
      <c r="D10" s="95" t="n">
        <v>1620</v>
      </c>
    </row>
    <row r="11" ht="18" customHeight="1" s="61">
      <c r="A11" s="86" t="inlineStr">
        <is>
          <t>ARR run-rate (AUD)</t>
        </is>
      </c>
      <c r="B11" s="93" t="n">
        <v>1080</v>
      </c>
      <c r="C11" s="94" t="n">
        <v>6360</v>
      </c>
      <c r="D11" s="95" t="n">
        <v>19440</v>
      </c>
    </row>
    <row r="12" ht="18" customHeight="1" s="61">
      <c r="A12" s="86" t="inlineStr">
        <is>
          <t>Net profit/loss (AUD)</t>
        </is>
      </c>
      <c r="B12" s="96" t="n">
        <v>-800</v>
      </c>
      <c r="C12" s="97" t="n">
        <v>-300</v>
      </c>
      <c r="D12" s="95" t="n">
        <v>700</v>
      </c>
    </row>
    <row r="13" ht="19.5" customHeight="1" s="61">
      <c r="A13" s="64" t="inlineStr">
        <is>
          <t>AT 12 MONTHS</t>
        </is>
      </c>
      <c r="B13" s="65" t="n"/>
      <c r="C13" s="65" t="n"/>
      <c r="D13" s="65" t="n"/>
    </row>
    <row r="14" ht="18" customHeight="1" s="61">
      <c r="A14" s="86" t="inlineStr">
        <is>
          <t>Total paying users</t>
        </is>
      </c>
      <c r="B14" s="87" t="n">
        <v>18</v>
      </c>
      <c r="C14" s="88" t="n">
        <v>105</v>
      </c>
      <c r="D14" s="89" t="n">
        <v>380</v>
      </c>
    </row>
    <row r="15" ht="18" customHeight="1" s="61">
      <c r="A15" s="86" t="inlineStr">
        <is>
          <t>MRR (net, AUD)</t>
        </is>
      </c>
      <c r="B15" s="93" t="n">
        <v>210</v>
      </c>
      <c r="C15" s="94" t="n">
        <v>1350</v>
      </c>
      <c r="D15" s="95" t="n">
        <v>4900</v>
      </c>
    </row>
    <row r="16" ht="18" customHeight="1" s="61">
      <c r="A16" s="86" t="inlineStr">
        <is>
          <t>ARR run-rate (AUD)</t>
        </is>
      </c>
      <c r="B16" s="93" t="n">
        <v>2520</v>
      </c>
      <c r="C16" s="94" t="n">
        <v>16200</v>
      </c>
      <c r="D16" s="95" t="n">
        <v>58800</v>
      </c>
    </row>
    <row r="17" ht="18" customHeight="1" s="61">
      <c r="A17" s="86" t="inlineStr">
        <is>
          <t>Net profit/loss (AUD)</t>
        </is>
      </c>
      <c r="B17" s="96" t="n">
        <v>-600</v>
      </c>
      <c r="C17" s="94" t="n">
        <v>450</v>
      </c>
      <c r="D17" s="95" t="n">
        <v>4100</v>
      </c>
    </row>
    <row r="18" ht="18" customHeight="1" s="61">
      <c r="A18" s="86" t="inlineStr">
        <is>
          <t>Cumulative profit/loss (AUD)</t>
        </is>
      </c>
      <c r="B18" s="96" t="n">
        <v>-9800</v>
      </c>
      <c r="C18" s="97" t="n">
        <v>-2800</v>
      </c>
      <c r="D18" s="95" t="n">
        <v>14200</v>
      </c>
    </row>
    <row r="19" ht="19.5" customHeight="1" s="61">
      <c r="A19" s="64" t="inlineStr">
        <is>
          <t>AT 24 MONTHS</t>
        </is>
      </c>
      <c r="B19" s="65" t="n"/>
      <c r="C19" s="65" t="n"/>
      <c r="D19" s="65" t="n"/>
    </row>
    <row r="20" ht="18" customHeight="1" s="61">
      <c r="A20" s="86" t="inlineStr">
        <is>
          <t>Total paying users</t>
        </is>
      </c>
      <c r="B20" s="87" t="n">
        <v>30</v>
      </c>
      <c r="C20" s="88" t="n">
        <v>280</v>
      </c>
      <c r="D20" s="89" t="n">
        <v>1100</v>
      </c>
    </row>
    <row r="21" ht="18" customHeight="1" s="61">
      <c r="A21" s="86" t="inlineStr">
        <is>
          <t>MRR (net, AUD)</t>
        </is>
      </c>
      <c r="B21" s="93" t="n">
        <v>360</v>
      </c>
      <c r="C21" s="94" t="n">
        <v>3600</v>
      </c>
      <c r="D21" s="95" t="n">
        <v>14300</v>
      </c>
    </row>
    <row r="22" ht="18" customHeight="1" s="61">
      <c r="A22" s="86" t="inlineStr">
        <is>
          <t>ARR run-rate (AUD)</t>
        </is>
      </c>
      <c r="B22" s="93" t="n">
        <v>4320</v>
      </c>
      <c r="C22" s="94" t="n">
        <v>43200</v>
      </c>
      <c r="D22" s="95" t="n">
        <v>171600</v>
      </c>
    </row>
    <row r="23" ht="18" customHeight="1" s="61">
      <c r="A23" s="86" t="inlineStr">
        <is>
          <t>Net profit/loss (AUD)</t>
        </is>
      </c>
      <c r="B23" s="96" t="n">
        <v>-200</v>
      </c>
      <c r="C23" s="94" t="n">
        <v>2700</v>
      </c>
      <c r="D23" s="95" t="n">
        <v>13500</v>
      </c>
    </row>
    <row r="24" ht="18" customHeight="1" s="61">
      <c r="A24" s="86" t="inlineStr">
        <is>
          <t>Cumulative profit/loss (AUD)</t>
        </is>
      </c>
      <c r="B24" s="96" t="n">
        <v>-9200</v>
      </c>
      <c r="C24" s="94" t="n">
        <v>12800</v>
      </c>
      <c r="D24" s="95" t="n">
        <v>120000</v>
      </c>
    </row>
    <row r="25" ht="18" customHeight="1" s="61">
      <c r="A25" s="86" t="inlineStr">
        <is>
          <t>Break-even month</t>
        </is>
      </c>
      <c r="B25" s="98" t="inlineStr">
        <is>
          <t>Never</t>
        </is>
      </c>
      <c r="C25" s="99" t="inlineStr">
        <is>
          <t>M14</t>
        </is>
      </c>
      <c r="D25" s="100" t="inlineStr">
        <is>
          <t>M8</t>
        </is>
      </c>
    </row>
    <row r="26" ht="19.5" customHeight="1" s="61">
      <c r="A26" s="64" t="inlineStr">
        <is>
          <t>UNIT ECONOMICS</t>
        </is>
      </c>
      <c r="B26" s="65" t="n"/>
      <c r="C26" s="65" t="n"/>
      <c r="D26" s="65" t="n"/>
    </row>
    <row r="27" ht="18" customHeight="1" s="61">
      <c r="A27" s="86" t="inlineStr">
        <is>
          <t>Avg ARPU/mo (AUD)</t>
        </is>
      </c>
      <c r="B27" s="101" t="n">
        <v>11.8</v>
      </c>
      <c r="C27" s="102" t="n">
        <v>12.8</v>
      </c>
      <c r="D27" s="103" t="n">
        <v>13.5</v>
      </c>
    </row>
    <row r="28" ht="18" customHeight="1" s="61">
      <c r="A28" s="86" t="inlineStr">
        <is>
          <t>Est. blended LTV (AUD)</t>
        </is>
      </c>
      <c r="B28" s="93" t="n">
        <v>118</v>
      </c>
      <c r="C28" s="94" t="n">
        <v>213</v>
      </c>
      <c r="D28" s="95" t="n">
        <v>338</v>
      </c>
    </row>
    <row r="29" ht="18" customHeight="1" s="61">
      <c r="A29" s="86" t="inlineStr">
        <is>
          <t>CAC (AUD, est.)</t>
        </is>
      </c>
      <c r="B29" s="93" t="n">
        <v>0</v>
      </c>
      <c r="C29" s="94" t="n">
        <v>0</v>
      </c>
      <c r="D29" s="95" t="n">
        <v>5</v>
      </c>
    </row>
    <row r="30" ht="18" customHeight="1" s="61">
      <c r="A30" s="86" t="inlineStr">
        <is>
          <t>Gross margin</t>
        </is>
      </c>
      <c r="B30" s="90" t="n">
        <v>0.92</v>
      </c>
      <c r="C30" s="91" t="n">
        <v>0.93</v>
      </c>
      <c r="D30" s="92" t="n">
        <v>0.9399999999999999</v>
      </c>
    </row>
  </sheetData>
  <mergeCells count="6">
    <mergeCell ref="A1:D1"/>
    <mergeCell ref="A8:D8"/>
    <mergeCell ref="A3:D3"/>
    <mergeCell ref="A26:D26"/>
    <mergeCell ref="A19:D19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60" min="1" max="1"/>
    <col width="14" customWidth="1" style="60" min="2" max="4"/>
  </cols>
  <sheetData>
    <row r="1" ht="33.75" customHeight="1" s="61">
      <c r="A1" s="62" t="inlineStr">
        <is>
          <t>SOULGAINZ  ·  P&amp;L Summary  (AUD, BASE CASE)</t>
        </is>
      </c>
    </row>
    <row r="2" ht="21.75" customHeight="1" s="61">
      <c r="A2" s="63" t="inlineStr">
        <is>
          <t>Line Item</t>
        </is>
      </c>
      <c r="B2" s="63" t="inlineStr">
        <is>
          <t>Year 1</t>
        </is>
      </c>
      <c r="C2" s="63" t="inlineStr">
        <is>
          <t>Year 2 (proj)</t>
        </is>
      </c>
      <c r="D2" s="63" t="inlineStr">
        <is>
          <t>Year 3 (proj)</t>
        </is>
      </c>
    </row>
    <row r="3" ht="19.5" customHeight="1" s="61">
      <c r="A3" s="64" t="inlineStr">
        <is>
          <t>REVENUE</t>
        </is>
      </c>
      <c r="B3" s="65" t="n"/>
      <c r="C3" s="65" t="n"/>
      <c r="D3" s="65" t="n"/>
    </row>
    <row r="4" ht="18" customHeight="1" s="61">
      <c r="A4" s="66" t="inlineStr">
        <is>
          <t>Gross subscription revenue</t>
        </is>
      </c>
      <c r="B4" s="76" t="n">
        <v>8200</v>
      </c>
      <c r="C4" s="76" t="n">
        <v>43200</v>
      </c>
      <c r="D4" s="76" t="n">
        <v>108000</v>
      </c>
    </row>
    <row r="5" ht="18" customHeight="1" s="61">
      <c r="A5" s="66" t="inlineStr">
        <is>
          <t>Stripe processing fees</t>
        </is>
      </c>
      <c r="B5" s="78" t="n">
        <v>-205</v>
      </c>
      <c r="C5" s="78" t="n">
        <v>-1080</v>
      </c>
      <c r="D5" s="78" t="n">
        <v>-2700</v>
      </c>
    </row>
    <row r="6" ht="18" customHeight="1" s="61">
      <c r="A6" s="104" t="inlineStr">
        <is>
          <t>Net revenue</t>
        </is>
      </c>
      <c r="B6" s="105" t="n">
        <v>7995</v>
      </c>
      <c r="C6" s="105" t="n">
        <v>42120</v>
      </c>
      <c r="D6" s="105" t="n">
        <v>105300</v>
      </c>
    </row>
    <row r="7" ht="18" customHeight="1" s="61">
      <c r="A7" s="66" t="inlineStr">
        <is>
          <t>Gross margin</t>
        </is>
      </c>
      <c r="B7" s="106" t="n">
        <v>0.975</v>
      </c>
      <c r="C7" s="106" t="n">
        <v>0.975</v>
      </c>
      <c r="D7" s="106" t="n">
        <v>0.975</v>
      </c>
    </row>
    <row r="8" ht="19.5" customHeight="1" s="61">
      <c r="A8" s="64" t="inlineStr">
        <is>
          <t>COSTS</t>
        </is>
      </c>
      <c r="B8" s="65" t="n"/>
      <c r="C8" s="65" t="n"/>
      <c r="D8" s="65" t="n"/>
    </row>
    <row r="9" ht="18" customHeight="1" s="61">
      <c r="A9" s="66" t="inlineStr">
        <is>
          <t>Infra (Netlify / Supabase)</t>
        </is>
      </c>
      <c r="B9" s="76" t="n">
        <v>0</v>
      </c>
      <c r="C9" s="76" t="n">
        <v>420</v>
      </c>
      <c r="D9" s="76" t="n">
        <v>840</v>
      </c>
    </row>
    <row r="10" ht="18" customHeight="1" s="61">
      <c r="A10" s="66" t="inlineStr">
        <is>
          <t>Apple Developer Program</t>
        </is>
      </c>
      <c r="B10" s="76" t="n">
        <v>152</v>
      </c>
      <c r="C10" s="76" t="n">
        <v>152</v>
      </c>
      <c r="D10" s="76" t="n">
        <v>152</v>
      </c>
    </row>
    <row r="11" ht="18" customHeight="1" s="61">
      <c r="A11" s="66" t="inlineStr">
        <is>
          <t>Domain</t>
        </is>
      </c>
      <c r="B11" s="76" t="n">
        <v>20</v>
      </c>
      <c r="C11" s="76" t="n">
        <v>20</v>
      </c>
      <c r="D11" s="76" t="n">
        <v>20</v>
      </c>
    </row>
    <row r="12" ht="18" customHeight="1" s="61">
      <c r="A12" s="66" t="inlineStr">
        <is>
          <t>Misc / contingency</t>
        </is>
      </c>
      <c r="B12" s="76" t="n">
        <v>120</v>
      </c>
      <c r="C12" s="76" t="n">
        <v>240</v>
      </c>
      <c r="D12" s="76" t="n">
        <v>480</v>
      </c>
    </row>
    <row r="13" ht="18" customHeight="1" s="61">
      <c r="A13" s="104" t="inlineStr">
        <is>
          <t>Total operating costs</t>
        </is>
      </c>
      <c r="B13" s="107" t="n">
        <v>-292</v>
      </c>
      <c r="C13" s="107" t="n">
        <v>-832</v>
      </c>
      <c r="D13" s="107" t="n">
        <v>-1492</v>
      </c>
    </row>
    <row r="14" ht="19.5" customHeight="1" s="61">
      <c r="A14" s="64" t="inlineStr">
        <is>
          <t>PROFITABILITY</t>
        </is>
      </c>
      <c r="B14" s="65" t="n"/>
      <c r="C14" s="65" t="n"/>
      <c r="D14" s="65" t="n"/>
    </row>
    <row r="15" ht="18" customHeight="1" s="61">
      <c r="A15" s="104" t="inlineStr">
        <is>
          <t>EBITDA</t>
        </is>
      </c>
      <c r="B15" s="105" t="n">
        <v>7703</v>
      </c>
      <c r="C15" s="105" t="n">
        <v>41288</v>
      </c>
      <c r="D15" s="105" t="n">
        <v>103808</v>
      </c>
    </row>
    <row r="16" ht="18" customHeight="1" s="61">
      <c r="A16" s="66" t="inlineStr">
        <is>
          <t>EBITDA margin</t>
        </is>
      </c>
      <c r="B16" s="106" t="n">
        <v>0.9379999999999999</v>
      </c>
      <c r="C16" s="106" t="n">
        <v>0.98</v>
      </c>
      <c r="D16" s="106" t="n">
        <v>0.986</v>
      </c>
    </row>
    <row r="17" ht="18" customHeight="1" s="61">
      <c r="A17" s="66" t="inlineStr">
        <is>
          <t>Estimated tax @ 25%</t>
        </is>
      </c>
      <c r="B17" s="78" t="n">
        <v>-1926</v>
      </c>
      <c r="C17" s="78" t="n">
        <v>-10322</v>
      </c>
      <c r="D17" s="78" t="n">
        <v>-25952</v>
      </c>
    </row>
    <row r="18" ht="18" customHeight="1" s="61">
      <c r="A18" s="104" t="inlineStr">
        <is>
          <t>Net profit (after tax est.)</t>
        </is>
      </c>
      <c r="B18" s="105" t="n">
        <v>5777</v>
      </c>
      <c r="C18" s="105" t="n">
        <v>30966</v>
      </c>
      <c r="D18" s="105" t="n">
        <v>77856</v>
      </c>
    </row>
    <row r="19" ht="18" customHeight="1" s="61">
      <c r="A19" s="66" t="inlineStr">
        <is>
          <t>Net margin</t>
        </is>
      </c>
      <c r="B19" s="106" t="n">
        <v>0.723</v>
      </c>
      <c r="C19" s="106" t="n">
        <v>0.735</v>
      </c>
      <c r="D19" s="106" t="n">
        <v>0.74</v>
      </c>
    </row>
    <row r="20" ht="19.5" customHeight="1" s="61">
      <c r="A20" s="64" t="inlineStr">
        <is>
          <t>CONTEXT</t>
        </is>
      </c>
      <c r="B20" s="65" t="n"/>
      <c r="C20" s="65" t="n"/>
      <c r="D20" s="65" t="n"/>
    </row>
    <row r="21" ht="18" customHeight="1" s="61">
      <c r="A21" s="66" t="inlineStr">
        <is>
          <t>Sunk sweat equity (not cash)</t>
        </is>
      </c>
      <c r="B21" s="76" t="n">
        <v>48000</v>
      </c>
      <c r="C21" s="76" t="n">
        <v>0</v>
      </c>
      <c r="D21" s="76" t="n">
        <v>0</v>
      </c>
    </row>
    <row r="22" ht="18" customHeight="1" s="61">
      <c r="A22" s="66" t="inlineStr">
        <is>
          <t>Total cash out-of-pocket</t>
        </is>
      </c>
      <c r="B22" s="76" t="n">
        <v>197</v>
      </c>
      <c r="C22" s="76" t="n">
        <v>152</v>
      </c>
      <c r="D22" s="76" t="n">
        <v>152</v>
      </c>
    </row>
    <row r="23" ht="18" customHeight="1" s="61">
      <c r="A23" s="66" t="inlineStr">
        <is>
          <t>ROI on cash (Y1 net ÷ cash)</t>
        </is>
      </c>
      <c r="B23" s="108" t="n">
        <v>29.3</v>
      </c>
      <c r="C23" s="108" t="n">
        <v>0</v>
      </c>
      <c r="D23" s="108" t="n">
        <v>0</v>
      </c>
    </row>
    <row r="24" ht="18" customHeight="1" s="61">
      <c r="A24" s="104" t="inlineStr">
        <is>
          <t>Paying users (end of year, base est.)</t>
        </is>
      </c>
      <c r="B24" s="109" t="n">
        <v>105</v>
      </c>
      <c r="C24" s="109" t="n">
        <v>280</v>
      </c>
      <c r="D24" s="109" t="n">
        <v>650</v>
      </c>
    </row>
    <row r="25" ht="18" customHeight="1" s="61">
      <c r="A25" s="104" t="inlineStr">
        <is>
          <t>ARR at year-end (base est.)</t>
        </is>
      </c>
      <c r="B25" s="105" t="n">
        <v>16200</v>
      </c>
      <c r="C25" s="105" t="n">
        <v>43200</v>
      </c>
      <c r="D25" s="105" t="n">
        <v>108000</v>
      </c>
    </row>
  </sheetData>
  <mergeCells count="5">
    <mergeCell ref="A1:D1"/>
    <mergeCell ref="A8:D8"/>
    <mergeCell ref="A3:D3"/>
    <mergeCell ref="A20:D20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60" min="1" max="1"/>
    <col width="22" customWidth="1" style="60" min="2" max="2"/>
    <col width="46" customWidth="1" style="60" min="3" max="3"/>
  </cols>
  <sheetData>
    <row r="1" ht="33.75" customHeight="1" s="61">
      <c r="A1" s="62" t="inlineStr">
        <is>
          <t>SOULGAINZ  ·  Pending Tasks + Next Steps</t>
        </is>
      </c>
    </row>
    <row r="2" ht="15" customHeight="1" s="61">
      <c r="A2" s="63" t="inlineStr">
        <is>
          <t>Task</t>
        </is>
      </c>
      <c r="B2" s="63" t="inlineStr">
        <is>
          <t>Status</t>
        </is>
      </c>
      <c r="C2" s="63" t="inlineStr">
        <is>
          <t>Notes</t>
        </is>
      </c>
    </row>
    <row r="3" ht="19.5" customHeight="1" s="61">
      <c r="A3" s="64" t="inlineStr">
        <is>
          <t>GOOGLE PLAY</t>
        </is>
      </c>
      <c r="B3" s="65" t="n"/>
      <c r="C3" s="65" t="n"/>
    </row>
    <row r="4" ht="21.75" customHeight="1" s="61">
      <c r="A4" s="110" t="inlineStr">
        <is>
          <t>Android device verification</t>
        </is>
      </c>
      <c r="B4" s="111" t="inlineStr">
        <is>
          <t>⏳ WAITING</t>
        </is>
      </c>
      <c r="C4" s="112" t="inlineStr">
        <is>
          <t>Borrow any Android phone · sign into Play Console app</t>
        </is>
      </c>
    </row>
    <row r="5" ht="21.75" customHeight="1" s="61">
      <c r="A5" s="110" t="inlineStr">
        <is>
          <t>Google identity verification</t>
        </is>
      </c>
      <c r="B5" s="111" t="inlineStr">
        <is>
          <t>⏳ IN PROGRESS</t>
        </is>
      </c>
      <c r="C5" s="112" t="inlineStr">
        <is>
          <t>Google verifying docs · email in 1-3 days</t>
        </is>
      </c>
    </row>
    <row r="6" ht="21.75" customHeight="1" s="61">
      <c r="A6" s="113" t="inlineStr">
        <is>
          <t>Create app in Play Console</t>
        </is>
      </c>
      <c r="B6" s="114" t="inlineStr">
        <is>
          <t>🔒 BLOCKED</t>
        </is>
      </c>
      <c r="C6" s="115" t="inlineStr">
        <is>
          <t>Unblocks once identity + device verified</t>
        </is>
      </c>
    </row>
    <row r="7" ht="21.75" customHeight="1" s="61">
      <c r="A7" s="116" t="inlineStr">
        <is>
          <t>Upload app-release.aab</t>
        </is>
      </c>
      <c r="B7" s="117" t="inlineStr">
        <is>
          <t>✅ READY</t>
        </is>
      </c>
      <c r="C7" s="118" t="inlineStr">
        <is>
          <t>_mobile/android/app/build/outputs/bundle/release/</t>
        </is>
      </c>
    </row>
    <row r="8" ht="21.75" customHeight="1" s="61">
      <c r="A8" s="113" t="inlineStr">
        <is>
          <t>Closed testing (12+ testers, 14 days)</t>
        </is>
      </c>
      <c r="B8" s="114" t="inlineStr">
        <is>
          <t>🔒 BLOCKED</t>
        </is>
      </c>
      <c r="C8" s="115" t="inlineStr">
        <is>
          <t>Need 12 Android users · friends/family</t>
        </is>
      </c>
    </row>
    <row r="9" ht="21.75" customHeight="1" s="61">
      <c r="A9" s="116" t="inlineStr">
        <is>
          <t>Fill store listing</t>
        </is>
      </c>
      <c r="B9" s="117" t="inlineStr">
        <is>
          <t>📋 COPY READY</t>
        </is>
      </c>
      <c r="C9" s="118" t="inlineStr">
        <is>
          <t>STORE_LISTING_COPY.md · assets in _mobile/assets/</t>
        </is>
      </c>
    </row>
    <row r="10" ht="21.75" customHeight="1" s="61">
      <c r="A10" s="113" t="inlineStr">
        <is>
          <t>Submit to Production</t>
        </is>
      </c>
      <c r="B10" s="114" t="inlineStr">
        <is>
          <t>🔒 BLOCKED</t>
        </is>
      </c>
      <c r="C10" s="115" t="inlineStr">
        <is>
          <t>After 14-day closed test</t>
        </is>
      </c>
    </row>
    <row r="11" ht="19.5" customHeight="1" s="61">
      <c r="A11" s="64" t="inlineStr">
        <is>
          <t>APPLE APP STORE</t>
        </is>
      </c>
      <c r="B11" s="65" t="n"/>
      <c r="C11" s="65" t="n"/>
    </row>
    <row r="12" ht="21.75" customHeight="1" s="61">
      <c r="A12" s="110" t="inlineStr">
        <is>
          <t>Apple Developer enrollment approval</t>
        </is>
      </c>
      <c r="B12" s="111" t="inlineStr">
        <is>
          <t>⏳ WAITING</t>
        </is>
      </c>
      <c r="C12" s="112" t="inlineStr">
        <is>
          <t>Call +1 800-275-2273 if online fails</t>
        </is>
      </c>
    </row>
    <row r="13" ht="21.75" customHeight="1" s="61">
      <c r="A13" s="113" t="inlineStr">
        <is>
          <t>iOS build + Xcode archive</t>
        </is>
      </c>
      <c r="B13" s="114" t="inlineStr">
        <is>
          <t>🔒 BLOCKED</t>
        </is>
      </c>
      <c r="C13" s="115" t="inlineStr">
        <is>
          <t>Needs enrollment approved</t>
        </is>
      </c>
    </row>
    <row r="14" ht="21.75" customHeight="1" s="61">
      <c r="A14" s="113" t="inlineStr">
        <is>
          <t>Upload to App Store Connect</t>
        </is>
      </c>
      <c r="B14" s="114" t="inlineStr">
        <is>
          <t>🔒 BLOCKED</t>
        </is>
      </c>
      <c r="C14" s="115" t="inlineStr">
        <is>
          <t>After Xcode archive</t>
        </is>
      </c>
    </row>
    <row r="15" ht="21.75" customHeight="1" s="61">
      <c r="A15" s="113" t="inlineStr">
        <is>
          <t>TestFlight beta + review</t>
        </is>
      </c>
      <c r="B15" s="114" t="inlineStr">
        <is>
          <t>🔒 BLOCKED</t>
        </is>
      </c>
      <c r="C15" s="115" t="inlineStr">
        <is>
          <t>Apple reviews take 1-7 days</t>
        </is>
      </c>
    </row>
    <row r="16" ht="19.5" customHeight="1" s="61">
      <c r="A16" s="64" t="inlineStr">
        <is>
          <t>DO THESE NOW</t>
        </is>
      </c>
      <c r="B16" s="65" t="n"/>
      <c r="C16" s="65" t="n"/>
    </row>
    <row r="17" ht="21.75" customHeight="1" s="61">
      <c r="A17" s="119" t="inlineStr">
        <is>
          <t>Back up keystore to iCloud</t>
        </is>
      </c>
      <c r="B17" s="120" t="inlineStr">
        <is>
          <t>⚠️ URGENT</t>
        </is>
      </c>
      <c r="C17" s="121" t="inlineStr">
        <is>
          <t>cp _mobile/soulgainz-release.keystore ~/Library/Mobile\ Documents/com~apple~CloudDocs/SoulGainz/</t>
        </is>
      </c>
    </row>
    <row r="18" ht="21.75" customHeight="1" s="61">
      <c r="A18" s="110" t="inlineStr">
        <is>
          <t>iCloud auto-sync of SoulGainz folder</t>
        </is>
      </c>
      <c r="B18" s="111" t="inlineStr">
        <is>
          <t>🔄 SETTING UP</t>
        </is>
      </c>
      <c r="C18" s="112" t="inlineStr">
        <is>
          <t>rsync script → excludes node_modules + build artifacts</t>
        </is>
      </c>
    </row>
    <row r="19" ht="21.75" customHeight="1" s="61">
      <c r="A19" s="110" t="inlineStr">
        <is>
          <t>Update paywall recipe count 94 → 173</t>
        </is>
      </c>
      <c r="B19" s="111" t="inlineStr">
        <is>
          <t>📋 PENDING</t>
        </is>
      </c>
      <c r="C19" s="112" t="inlineStr">
        <is>
          <t>index.html paywall card still says 94 recipes</t>
        </is>
      </c>
    </row>
    <row r="20" ht="19.5" customHeight="1" s="61">
      <c r="A20" s="64" t="inlineStr">
        <is>
          <t>GROWTH + MARKETING</t>
        </is>
      </c>
      <c r="B20" s="65" t="n"/>
      <c r="C20" s="65" t="n"/>
    </row>
    <row r="21" ht="21.75" customHeight="1" s="61">
      <c r="A21" s="110" t="inlineStr">
        <is>
          <t>Instagram content — next batch</t>
        </is>
      </c>
      <c r="B21" s="111" t="inlineStr">
        <is>
          <t>📋 PENDING</t>
        </is>
      </c>
      <c r="C21" s="112" t="inlineStr">
        <is>
          <t>4 posts done · continue social calendar</t>
        </is>
      </c>
    </row>
    <row r="22" ht="21.75" customHeight="1" s="61">
      <c r="A22" s="110" t="inlineStr">
        <is>
          <t>Analytics setup (Plausible/GA4)</t>
        </is>
      </c>
      <c r="B22" s="111" t="inlineStr">
        <is>
          <t>📋 PENDING</t>
        </is>
      </c>
      <c r="C22" s="112" t="inlineStr">
        <is>
          <t>Track signups, conversions, page views</t>
        </is>
      </c>
    </row>
    <row r="23" ht="21.75" customHeight="1" s="61">
      <c r="A23" s="110" t="inlineStr">
        <is>
          <t>Send launch email to waitlist</t>
        </is>
      </c>
      <c r="B23" s="111" t="inlineStr">
        <is>
          <t>📋 PENDING</t>
        </is>
      </c>
      <c r="C23" s="112" t="inlineStr">
        <is>
          <t>Trigger Resend launch sequence</t>
        </is>
      </c>
    </row>
    <row r="24" ht="21.75" customHeight="1" s="61">
      <c r="A24" s="110" t="inlineStr">
        <is>
          <t>Promo codes for closed testers</t>
        </is>
      </c>
      <c r="B24" s="111" t="inlineStr">
        <is>
          <t>📋 PENDING</t>
        </is>
      </c>
      <c r="C24" s="112" t="inlineStr">
        <is>
          <t>Create in Stripe dashboard for Android testers</t>
        </is>
      </c>
    </row>
  </sheetData>
  <mergeCells count="5">
    <mergeCell ref="A11:C11"/>
    <mergeCell ref="A1:C1"/>
    <mergeCell ref="A3:C3"/>
    <mergeCell ref="A20:C20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2026-08-18T11:31:11Z</dcterms:created>
  <dcterms:modified xmlns:dcterms="http://purl.org/dc/terms/" xmlns:xsi="http://www.w3.org/2001/XMLSchema-instance" xsi:type="dcterms:W3CDTF">2026-08-18T11:32:36Z</dcterms:modified>
  <cp:revision>0</cp:revision>
</cp:coreProperties>
</file>